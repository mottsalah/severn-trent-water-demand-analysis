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6b9abc35846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c18410f23c35410d"/>
    <x:sheet xmlns:r="http://schemas.openxmlformats.org/officeDocument/2006/relationships" name="Baseline Forecast" sheetId="2" r:id="R0a20eef0a7b6429b"/>
    <x:sheet xmlns:r="http://schemas.openxmlformats.org/officeDocument/2006/relationships" name="Scenario Comparison" sheetId="3" r:id="R48b7fe5bedfe40e2"/>
    <x:sheet xmlns:r="http://schemas.openxmlformats.org/officeDocument/2006/relationships" name="Assumptions" sheetId="4" r:id="R2ff63bdbcd304549"/>
    <x:sheet xmlns:r="http://schemas.openxmlformats.org/officeDocument/2006/relationships" name="Data Quality Checks" sheetId="5" r:id="R7cdc17461ecb4f34"/>
    <x:sheet xmlns:r="http://schemas.openxmlformats.org/officeDocument/2006/relationships" name="Source Register" sheetId="6" r:id="R58b2b729d83942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2"/>
      <x:color rgb="FF17365D"/>
      <x:name val="Carlito"/>
    </x:font>
    <x:font>
      <x:b/>
      <x:sz val="14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8FBFD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</x:cellXfs>
  <x:cellStyles count="1">
    <x:cellStyle name="Normal" xfId="0"/>
  </x:cellStyles>
  <x:dxfs count="6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3113f1f3449b4" /><Relationship Type="http://schemas.openxmlformats.org/officeDocument/2006/relationships/theme" Target="/xl/theme/theme1.xml" Id="Rf39f4154a5af47f4" /><Relationship Type="http://schemas.openxmlformats.org/officeDocument/2006/relationships/sharedStrings" Target="/xl/sharedStrings.xml" Id="Raf74722fd9254ff4" /><Relationship Type="http://schemas.openxmlformats.org/officeDocument/2006/relationships/worksheet" Target="/xl/worksheets/sheet1.xml" Id="Rc18410f23c35410d" /><Relationship Type="http://schemas.openxmlformats.org/officeDocument/2006/relationships/worksheet" Target="/xl/worksheets/sheet2.xml" Id="R0a20eef0a7b6429b" /><Relationship Type="http://schemas.openxmlformats.org/officeDocument/2006/relationships/worksheet" Target="/xl/worksheets/sheet3.xml" Id="R48b7fe5bedfe40e2" /><Relationship Type="http://schemas.openxmlformats.org/officeDocument/2006/relationships/worksheet" Target="/xl/worksheets/sheet4.xml" Id="R2ff63bdbcd304549" /><Relationship Type="http://schemas.openxmlformats.org/officeDocument/2006/relationships/worksheet" Target="/xl/worksheets/sheet5.xml" Id="R7cdc17461ecb4f34" /><Relationship Type="http://schemas.openxmlformats.org/officeDocument/2006/relationships/worksheet" Target="/xl/worksheets/sheet6.xml" Id="R58b2b729d83942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29e0d170c448b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72319144233478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Published Strategic Grid Demand, WAFU and SDB</a:t>
            </a:r>
          </a:p>
        </c:rich>
      </c:tx>
    </c:title>
    <c:plotArea>
      <c:lineChart>
        <c:grouping val="standard"/>
        <c:ser>
          <c:idx val="0"/>
          <c:order val="0"/>
          <c:tx>
            <c:v>Distribution Input</c:v>
          </c:tx>
          <c:marker>
            <c:symbol val="none"/>
          </c:marker>
          <c:cat>
            <c:strRef>
              <c:f>'Baseline Forecast'!$Q$5:$Q$29</c:f>
              <c:strCache>
                <c:ptCount val="0"/>
              </c:strCache>
            </c:strRef>
          </c:cat>
          <c:val>
            <c:numRef>
              <c:f>'Baseline Forecast'!$R$5:$R$29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Total WAFU</c:v>
          </c:tx>
          <c:marker>
            <c:symbol val="none"/>
          </c:marker>
          <c:cat>
            <c:strRef>
              <c:f>'Baseline Forecast'!$Q$5:$Q$29</c:f>
              <c:strCache>
                <c:ptCount val="0"/>
              </c:strCache>
            </c:strRef>
          </c:cat>
          <c:val>
            <c:numRef>
              <c:f>'Baseline Forecast'!$S$5:$S$29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Published SDB</c:v>
          </c:tx>
          <c:marker>
            <c:symbol val="none"/>
          </c:marker>
          <c:cat>
            <c:strRef>
              <c:f>'Baseline Forecast'!$Q$5:$Q$29</c:f>
              <c:strCache>
                <c:ptCount val="0"/>
              </c:strCache>
            </c:strRef>
          </c:cat>
          <c:val>
            <c:numRef>
              <c:f>'Baseline Forecast'!$T$5:$T$29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2044-45 Total Demand by Scenario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Total Demand (Ml/d)</c:v>
          </c:tx>
          <c:cat>
            <c:strRef>
              <c:f>'Scenario Comparison'!$O$3:$O$8</c:f>
              <c:strCache>
                <c:ptCount val="0"/>
              </c:strCache>
            </c:strRef>
          </c:cat>
          <c:val>
            <c:numRef>
              <c:f>'Scenario Comparison'!$P$3:$P$8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29e0d170c448b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14</xdr:col>
      <xdr:colOff>0</xdr:colOff>
      <xdr:row>1</xdr:row>
      <xdr:rowOff>0</xdr:rowOff>
    </xdr:from>
    <xdr:to>
      <xdr:col>23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2319144233478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b6843c0099445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68f199c299b64f69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4" hidden="0" customWidth="1"/>
    <x:col min="4" max="4" width="32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19" customHeight="1">
      <x:c r="A1" s="5" t="str">
        <x:v>Severn Trent Water Demand Forecasting and Scenario Analysis</x:v>
      </x:c>
      <x:c r="B1" s="5"/>
      <x:c r="C1" s="5"/>
      <x:c r="D1" s="5"/>
      <x:c r="E1" s="5"/>
      <x:c r="F1" s="5"/>
      <x:c r="G1" s="5"/>
      <x:c r="H1" s="5"/>
    </x:row>
    <x:row r="2" ht="19" customHeight="1">
      <x:c r="A2" s="5"/>
      <x:c r="B2" s="5"/>
      <x:c r="C2" s="5"/>
      <x:c r="D2" s="5"/>
      <x:c r="E2" s="5"/>
      <x:c r="F2" s="5"/>
      <x:c r="G2" s="5"/>
      <x:c r="H2" s="5"/>
    </x:row>
    <x:row r="3" ht="19" customHeight="1"/>
    <x:row r="4" ht="19" customHeight="1">
      <x:c r="A4" s="12" t="str">
        <x:v>Selected Scenario</x:v>
      </x:c>
      <x:c r="B4" s="17" t="str">
        <x:v>Combined Efficiency</x:v>
      </x:c>
      <x:c r="D4" s="12" t="str">
        <x:v>Summary Year</x:v>
      </x:c>
      <x:c r="E4" s="17" t="str">
        <x:v>2044-45</x:v>
      </x:c>
    </x:row>
    <x:row r="5" ht="19" customHeight="1"/>
    <x:row r="6" ht="19" customHeight="1">
      <x:c r="A6" s="22" t="str">
        <x:v>2044-45 Scenario Summary</x:v>
      </x:c>
      <x:c r="B6" s="22"/>
      <x:c r="C6" s="22"/>
      <x:c r="D6" s="22"/>
      <x:c r="E6" s="22"/>
      <x:c r="F6" s="22"/>
      <x:c r="G6" s="22"/>
      <x:c r="H6" s="22"/>
    </x:row>
    <x:row r="7" ht="19" customHeight="1"/>
    <x:row r="8" ht="19" customHeight="1">
      <x:c r="A8" s="26" t="str">
        <x:v>Published Baseline Demand (Ml/d)</x:v>
      </x:c>
      <x:c r="B8" s="36" t="n">
        <x:f>INDEX('Scenario Comparison'!$H$3:$H$8,MATCH("Published Baseline",'Scenario Comparison'!$A$3:$A$8,0))</x:f>
        <x:v>1273.4676546352034</x:v>
      </x:c>
      <x:c r="D8" s="26" t="str">
        <x:v>Selected Scenario SDB (Ml/d)</x:v>
      </x:c>
      <x:c r="E8" s="36" t="n">
        <x:f>INDEX('Scenario Comparison'!$K$3:$K$8,MATCH($B$4,'Scenario Comparison'!$A$3:$A$8,0))</x:f>
        <x:v>-73.93584115124304</x:v>
      </x:c>
    </x:row>
    <x:row r="9" ht="19" customHeight="1">
      <x:c r="A9" s="26" t="str">
        <x:v>Selected Scenario Demand (Ml/d)</x:v>
      </x:c>
      <x:c r="B9" s="36" t="n">
        <x:f>INDEX('Scenario Comparison'!$H$3:$H$8,MATCH($B$4,'Scenario Comparison'!$A$3:$A$8,0))</x:f>
        <x:v>1112.3521384145063</x:v>
      </x:c>
      <x:c r="D9" s="26" t="str">
        <x:v>SDB Improvement vs Baseline (Ml/d)</x:v>
      </x:c>
      <x:c r="E9" s="36" t="n">
        <x:f>INDEX('Scenario Comparison'!$L$3:$L$8,MATCH($B$4,'Scenario Comparison'!$A$3:$A$8,0))</x:f>
        <x:v>161.11551622069712</x:v>
      </x:c>
    </x:row>
    <x:row r="10" ht="19" customHeight="1">
      <x:c r="A10" s="26" t="str">
        <x:v>Demand Change vs Baseline (Ml/d)</x:v>
      </x:c>
      <x:c r="B10" s="36" t="n">
        <x:f>INDEX('Scenario Comparison'!$I$3:$I$8,MATCH($B$4,'Scenario Comparison'!$A$3:$A$8,0))</x:f>
        <x:v>-161.11551622069715</x:v>
      </x:c>
      <x:c r="D10" s="26" t="str">
        <x:v>Population (000s)</x:v>
      </x:c>
      <x:c r="E10" s="36" t="n">
        <x:f>INDEX('Scenario Comparison'!$C$3:$C$8,MATCH($B$4,'Scenario Comparison'!$A$3:$A$8,0))</x:f>
        <x:v>5912.181270052472</x:v>
      </x:c>
    </x:row>
    <x:row r="11" ht="19" customHeight="1">
      <x:c r="A11" s="26" t="str">
        <x:v>Demand Change vs Baseline (%)</x:v>
      </x:c>
      <x:c r="B11" s="38" t="n">
        <x:f>INDEX('Scenario Comparison'!$J$3:$J$8,MATCH($B$4,'Scenario Comparison'!$A$3:$A$8,0))</x:f>
        <x:v>-0.12651716408678645</x:v>
      </x:c>
      <x:c r="D11" s="26" t="str">
        <x:v>PCC (l/h/d)</x:v>
      </x:c>
      <x:c r="E11" s="36" t="n">
        <x:f>INDEX('Scenario Comparison'!$D$3:$D$8,MATCH($B$4,'Scenario Comparison'!$A$3:$A$8,0))</x:f>
        <x:v>110</x:v>
      </x:c>
    </x:row>
    <x:row r="12" ht="19" customHeight="1"/>
    <x:row r="13" ht="19" customHeight="1">
      <x:c r="A13" s="22" t="str">
        <x:v>Key Findings from the Current Prototype</x:v>
      </x:c>
      <x:c r="B13" s="22"/>
      <x:c r="C13" s="22"/>
      <x:c r="D13" s="22"/>
      <x:c r="E13" s="22"/>
      <x:c r="F13" s="22"/>
      <x:c r="G13" s="22"/>
      <x:c r="H13" s="22"/>
    </x:row>
    <x:row r="14" ht="19" customHeight="1"/>
    <x:row r="15" ht="38" customHeight="1">
      <x:c r="A15" s="66" t="str">
        <x:v>Published baseline</x:v>
      </x:c>
      <x:c r="B15" s="42" t="str">
        <x:v>By 2044-45, distribution input is 1,273.5 Ml/d and the published supply-demand balance is -235.1 Ml/d.</x:v>
      </x:c>
      <x:c r="C15" s="42"/>
      <x:c r="D15" s="42"/>
      <x:c r="E15" s="42"/>
      <x:c r="F15" s="42"/>
      <x:c r="G15" s="42"/>
      <x:c r="H15" s="42"/>
    </x:row>
    <x:row r="16" ht="38" customHeight="1">
      <x:c r="A16" s="66" t="str">
        <x:v>PCC sensitivity</x:v>
      </x:c>
      <x:c r="B16" s="42" t="str">
        <x:v>Reaching 110 l/h/d by 2044-45 reduces demand by 82.3 Ml/d (6.5%) relative to the published baseline.</x:v>
      </x:c>
      <x:c r="C16" s="42"/>
      <x:c r="D16" s="42"/>
      <x:c r="E16" s="42"/>
      <x:c r="F16" s="42"/>
      <x:c r="G16" s="42"/>
      <x:c r="H16" s="42"/>
    </x:row>
    <x:row r="17" ht="38" customHeight="1">
      <x:c r="A17" s="66" t="str">
        <x:v>Combined efficiency</x:v>
      </x:c>
      <x:c r="B17" s="42" t="str">
        <x:v>The combined illustrative efficiency case reduces demand by 161.1 Ml/d (12.7%) and improves the 2044-45 SDB to -73.9 Ml/d.</x:v>
      </x:c>
      <x:c r="C17" s="42"/>
      <x:c r="D17" s="42"/>
      <x:c r="E17" s="42"/>
      <x:c r="F17" s="42"/>
      <x:c r="G17" s="42"/>
      <x:c r="H17" s="42"/>
    </x:row>
    <x:row r="18" ht="38" customHeight="1">
      <x:c r="A18" s="66" t="str">
        <x:v>Growth sensitivity</x:v>
      </x:c>
      <x:c r="B18" s="42" t="str">
        <x:v>A population sensitivity ending 3% above baseline increases 2044-45 demand by 21.7 Ml/d and worsens the SDB to -256.7 Ml/d.</x:v>
      </x:c>
      <x:c r="C18" s="42"/>
      <x:c r="D18" s="42"/>
      <x:c r="E18" s="42"/>
      <x:c r="F18" s="42"/>
      <x:c r="G18" s="42"/>
      <x:c r="H18" s="42"/>
    </x:row>
    <x:row r="19" ht="38" customHeight="1">
      <x:c r="A19" s="66" t="str">
        <x:v>Interpretation</x:v>
      </x:c>
      <x:c r="B19" s="42" t="str">
        <x:v>All modelled cases remain in deficit in 2044-45, so demand management alone does not remove the published Strategic Grid challenge in this simplified prototype.</x:v>
      </x:c>
      <x:c r="C19" s="42"/>
      <x:c r="D19" s="42"/>
      <x:c r="E19" s="42"/>
      <x:c r="F19" s="42"/>
      <x:c r="G19" s="42"/>
      <x:c r="H19" s="42"/>
    </x:row>
    <x:row r="20" ht="19" customHeight="1"/>
    <x:row r="21" ht="19" customHeight="1">
      <x:c r="A21" s="22" t="str">
        <x:v>Model Scope</x:v>
      </x:c>
      <x:c r="B21" s="22"/>
      <x:c r="C21" s="22"/>
      <x:c r="D21" s="22"/>
      <x:c r="E21" s="22"/>
      <x:c r="F21" s="22"/>
      <x:c r="G21" s="22"/>
      <x:c r="H21" s="22"/>
    </x:row>
    <x:row r="22" ht="19" customHeight="1">
      <x:c r="A22" s="42" t="str">
        <x:v>Independent public-data prototype based on Severn Trent's published WRMP24 Strategic Grid market information. The Published Baseline reflects extracted source values. All other scenarios are illustrative sensitivities, not Severn Trent forecasts.</x:v>
      </x:c>
      <x:c r="B22" s="42"/>
      <x:c r="C22" s="42"/>
      <x:c r="D22" s="42"/>
      <x:c r="E22" s="42"/>
      <x:c r="F22" s="42"/>
      <x:c r="G22" s="42"/>
      <x:c r="H22" s="42"/>
    </x:row>
    <x:row r="23" ht="19" customHeight="1">
      <x:c r="A23" s="42"/>
      <x:c r="B23" s="42"/>
      <x:c r="C23" s="42"/>
      <x:c r="D23" s="42"/>
      <x:c r="E23" s="42"/>
      <x:c r="F23" s="42"/>
      <x:c r="G23" s="42"/>
      <x:c r="H23" s="42"/>
    </x:row>
    <x:row r="24" ht="19" customHeight="1">
      <x:c r="A24" s="42"/>
      <x:c r="B24" s="42"/>
      <x:c r="C24" s="42"/>
      <x:c r="D24" s="42"/>
      <x:c r="E24" s="42"/>
      <x:c r="F24" s="42"/>
      <x:c r="G24" s="42"/>
      <x:c r="H24" s="42"/>
    </x:row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</x:sheetData>
  <x:mergeCells>
    <x:mergeCell ref="A1:H2"/>
    <x:mergeCell ref="A6:H6"/>
    <x:mergeCell ref="A13:H13"/>
    <x:mergeCell ref="A21:H21"/>
    <x:mergeCell ref="A22:H24"/>
    <x:mergeCell ref="B15:H15"/>
    <x:mergeCell ref="B16:H16"/>
    <x:mergeCell ref="B17:H17"/>
    <x:mergeCell ref="B18:H18"/>
    <x:mergeCell ref="B19:H19"/>
  </x:mergeCells>
  <x:dataValidations count="1">
    <x:dataValidation type="list" sqref="B4">
      <x:formula1>Assumptions!$A$3:$A$8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19" customHeight="1">
      <x:c r="A1" s="5" t="str">
        <x:v>Published Strategic Grid Baseline Forecast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19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19" customHeight="1"/>
    <x:row r="4" ht="19" customHeight="1">
      <x:c r="A4" s="48" t="str">
        <x:v>Financial Year</x:v>
      </x:c>
      <x:c r="B4" s="48" t="str">
        <x:v>Year Start</x:v>
      </x:c>
      <x:c r="C4" s="48" t="str">
        <x:v>Population (000s)</x:v>
      </x:c>
      <x:c r="D4" s="48" t="str">
        <x:v>PCC (l/h/d)</x:v>
      </x:c>
      <x:c r="E4" s="48" t="str">
        <x:v>Household Demand (Ml/d)</x:v>
      </x:c>
      <x:c r="F4" s="48" t="str">
        <x:v>Non-Household Demand (Ml/d)</x:v>
      </x:c>
      <x:c r="G4" s="48" t="str">
        <x:v>Leakage (Ml/d)</x:v>
      </x:c>
      <x:c r="H4" s="48" t="str">
        <x:v>Residual Other Demand (Ml/d)</x:v>
      </x:c>
      <x:c r="I4" s="48" t="str">
        <x:v>Distribution Input (Ml/d)</x:v>
      </x:c>
      <x:c r="J4" s="48" t="str">
        <x:v>Total WAFU (Ml/d)</x:v>
      </x:c>
      <x:c r="K4" s="48" t="str">
        <x:v>Target Headroom (Ml/d)</x:v>
      </x:c>
      <x:c r="L4" s="48" t="str">
        <x:v>Published SDB (Ml/d)</x:v>
      </x:c>
      <x:c r="M4" s="48" t="str">
        <x:v>HH Share of DI</x:v>
      </x:c>
      <x:c r="N4" s="48" t="str">
        <x:v>NHH Share of DI</x:v>
      </x:c>
      <x:c r="O4" s="48" t="str">
        <x:v>DI Change vs 2020-21</x:v>
      </x:c>
      <x:c r="Q4" t="str">
        <x:v>Financial Year</x:v>
      </x:c>
      <x:c r="R4" t="str">
        <x:v>Distribution Input</x:v>
      </x:c>
      <x:c r="S4" t="str">
        <x:v>Total WAFU</x:v>
      </x:c>
      <x:c r="T4" t="str">
        <x:v>Published SDB</x:v>
      </x:c>
    </x:row>
    <x:row r="5" ht="19" customHeight="1">
      <x:c r="A5" s="40" t="str">
        <x:v>2020-21</x:v>
      </x:c>
      <x:c r="B5" s="40" t="n">
        <x:v>2020</x:v>
      </x:c>
      <x:c r="C5" s="58" t="n">
        <x:v>5776.8140616388955</x:v>
      </x:c>
      <x:c r="D5" s="58" t="n">
        <x:v>135.9944923771094</x:v>
      </x:c>
      <x:c r="E5" s="58" t="n">
        <x:v>756.1168497530905</x:v>
      </x:c>
      <x:c r="F5" s="58" t="n">
        <x:v>179.6488849624751</x:v>
      </x:c>
      <x:c r="G5" s="58" t="n">
        <x:v>286.08219902588684</x:v>
      </x:c>
      <x:c r="H5" s="58" t="n">
        <x:v>56.99394087131844</x:v>
      </x:c>
      <x:c r="I5" s="58" t="n">
        <x:v>1278.8418746127709</x:v>
      </x:c>
      <x:c r="J5" s="58" t="n">
        <x:v>1341.659182236184</x:v>
      </x:c>
      <x:c r="K5" s="58" t="n">
        <x:v>24.506819637312972</x:v>
      </x:c>
      <x:c r="L5" s="58" t="n">
        <x:v>38.3104879861002</x:v>
      </x:c>
      <x:c r="M5" s="59" t="n">
        <x:f>E5/I5</x:f>
        <x:v>0.5912512443980146</x:v>
      </x:c>
      <x:c r="N5" s="59" t="n">
        <x:f>F5/I5</x:f>
        <x:v>0.14047779364190136</x:v>
      </x:c>
      <x:c r="O5" s="59" t="n">
        <x:f>(I5-$I$5)/$I$5</x:f>
        <x:v>0</x:v>
      </x:c>
      <x:c r="Q5" t="str">
        <x:v>2020-21</x:v>
      </x:c>
      <x:c r="R5" t="n">
        <x:v>1278.8418746127709</x:v>
      </x:c>
      <x:c r="S5" t="n">
        <x:v>1341.659182236184</x:v>
      </x:c>
      <x:c r="T5" t="n">
        <x:v>38.3104879861002</x:v>
      </x:c>
    </x:row>
    <x:row r="6" ht="19" customHeight="1">
      <x:c r="A6" s="40" t="str">
        <x:v>2021-22</x:v>
      </x:c>
      <x:c r="B6" s="40" t="n">
        <x:v>2021</x:v>
      </x:c>
      <x:c r="C6" s="58" t="n">
        <x:v>5709.813043939368</x:v>
      </x:c>
      <x:c r="D6" s="58" t="n">
        <x:v>129.93422495508386</x:v>
      </x:c>
      <x:c r="E6" s="58" t="n">
        <x:v>729.7158104259768</x:v>
      </x:c>
      <x:c r="F6" s="58" t="n">
        <x:v>210.79629441503056</x:v>
      </x:c>
      <x:c r="G6" s="58" t="n">
        <x:v>277.80420474978416</x:v>
      </x:c>
      <x:c r="H6" s="58" t="n">
        <x:v>45.76782302441836</x:v>
      </x:c>
      <x:c r="I6" s="58" t="n">
        <x:v>1264.08413261521</x:v>
      </x:c>
      <x:c r="J6" s="58" t="n">
        <x:v>1337.6420034847788</x:v>
      </x:c>
      <x:c r="K6" s="58" t="n">
        <x:v>21.947942643317955</x:v>
      </x:c>
      <x:c r="L6" s="58" t="n">
        <x:v>51.60992822625093</x:v>
      </x:c>
      <x:c r="M6" s="59" t="n">
        <x:f>E6/I6</x:f>
        <x:v>0.5772683887078772</x:v>
      </x:c>
      <x:c r="N6" s="59" t="n">
        <x:f>F6/I6</x:f>
        <x:v>0.16675812074226662</x:v>
      </x:c>
      <x:c r="O6" s="59" t="n">
        <x:f>(I6-$I$5)/$I$5</x:f>
        <x:v>-0.011539927093824297</x:v>
      </x:c>
      <x:c r="Q6" t="str">
        <x:v>2021-22</x:v>
      </x:c>
      <x:c r="R6" t="n">
        <x:v>1264.08413261521</x:v>
      </x:c>
      <x:c r="S6" t="n">
        <x:v>1337.6420034847788</x:v>
      </x:c>
      <x:c r="T6" t="n">
        <x:v>51.60992822625093</x:v>
      </x:c>
    </x:row>
    <x:row r="7" ht="19" customHeight="1">
      <x:c r="A7" s="40" t="str">
        <x:v>2022-23</x:v>
      </x:c>
      <x:c r="B7" s="40" t="n">
        <x:v>2022</x:v>
      </x:c>
      <x:c r="C7" s="58" t="n">
        <x:v>5276.002459310545</x:v>
      </x:c>
      <x:c r="D7" s="58" t="n">
        <x:v>130.84891417157252</x:v>
      </x:c>
      <x:c r="E7" s="58" t="n">
        <x:v>678.0890977387202</x:v>
      </x:c>
      <x:c r="F7" s="58" t="n">
        <x:v>239.26930166927204</x:v>
      </x:c>
      <x:c r="G7" s="58" t="n">
        <x:v>272.13</x:v>
      </x:c>
      <x:c r="H7" s="58" t="n">
        <x:v>35.05871832127343</x:v>
      </x:c>
      <x:c r="I7" s="58" t="n">
        <x:v>1224.5471177292657</x:v>
      </x:c>
      <x:c r="J7" s="58" t="n">
        <x:v>1298.656616639776</x:v>
      </x:c>
      <x:c r="K7" s="58" t="n">
        <x:v>112.30648982052197</x:v>
      </x:c>
      <x:c r="L7" s="58" t="n">
        <x:v>-38.196990910011564</x:v>
      </x:c>
      <x:c r="M7" s="59" t="n">
        <x:f>E7/I7</x:f>
        <x:v>0.5537468407064092</x:v>
      </x:c>
      <x:c r="N7" s="59" t="n">
        <x:f>F7/I7</x:f>
        <x:v>0.1953941160818378</x:v>
      </x:c>
      <x:c r="O7" s="59" t="n">
        <x:f>(I7-$I$5)/$I$5</x:f>
        <x:v>-0.04245619256090241</x:v>
      </x:c>
      <x:c r="Q7" t="str">
        <x:v>2022-23</x:v>
      </x:c>
      <x:c r="R7" t="n">
        <x:v>1224.5471177292657</x:v>
      </x:c>
      <x:c r="S7" t="n">
        <x:v>1298.656616639776</x:v>
      </x:c>
      <x:c r="T7" t="n">
        <x:v>-38.196990910011564</x:v>
      </x:c>
    </x:row>
    <x:row r="8" ht="19" customHeight="1">
      <x:c r="A8" s="40" t="str">
        <x:v>2023-24</x:v>
      </x:c>
      <x:c r="B8" s="40" t="n">
        <x:v>2023</x:v>
      </x:c>
      <x:c r="C8" s="58" t="n">
        <x:v>5309.149751075058</x:v>
      </x:c>
      <x:c r="D8" s="58" t="n">
        <x:v>130.39499960245755</x:v>
      </x:c>
      <x:c r="E8" s="58" t="n">
        <x:v>680.0590493830985</x:v>
      </x:c>
      <x:c r="F8" s="58" t="n">
        <x:v>239.98026443356483</x:v>
      </x:c>
      <x:c r="G8" s="58" t="n">
        <x:v>272.13</x:v>
      </x:c>
      <x:c r="H8" s="58" t="n">
        <x:v>35.05871832127343</x:v>
      </x:c>
      <x:c r="I8" s="58" t="n">
        <x:v>1227.2280321379367</x:v>
      </x:c>
      <x:c r="J8" s="58" t="n">
        <x:v>1296.656616639776</x:v>
      </x:c>
      <x:c r="K8" s="58" t="n">
        <x:v>131.2637054009932</x:v>
      </x:c>
      <x:c r="L8" s="58" t="n">
        <x:v>-61.83512089915379</x:v>
      </x:c>
      <x:c r="M8" s="59" t="n">
        <x:f>E8/I8</x:f>
        <x:v>0.5541423692859893</x:v>
      </x:c>
      <x:c r="N8" s="59" t="n">
        <x:f>F8/I8</x:f>
        <x:v>0.1955465961900321</x:v>
      </x:c>
      <x:c r="O8" s="59" t="n">
        <x:f>(I8-$I$5)/$I$5</x:f>
        <x:v>-0.04035983142205341</x:v>
      </x:c>
      <x:c r="Q8" t="str">
        <x:v>2023-24</x:v>
      </x:c>
      <x:c r="R8" t="n">
        <x:v>1227.2280321379367</x:v>
      </x:c>
      <x:c r="S8" t="n">
        <x:v>1296.656616639776</x:v>
      </x:c>
      <x:c r="T8" t="n">
        <x:v>-61.83512089915379</x:v>
      </x:c>
    </x:row>
    <x:row r="9" ht="19" customHeight="1">
      <x:c r="A9" s="40" t="str">
        <x:v>2024-25</x:v>
      </x:c>
      <x:c r="B9" s="40" t="n">
        <x:v>2024</x:v>
      </x:c>
      <x:c r="C9" s="58" t="n">
        <x:v>5342.039627293122</x:v>
      </x:c>
      <x:c r="D9" s="58" t="n">
        <x:v>129.98676907815624</x:v>
      </x:c>
      <x:c r="E9" s="58" t="n">
        <x:v>682.205222142545</x:v>
      </x:c>
      <x:c r="F9" s="58" t="n">
        <x:v>239.85714194616898</x:v>
      </x:c>
      <x:c r="G9" s="58" t="n">
        <x:v>272.13</x:v>
      </x:c>
      <x:c r="H9" s="58" t="n">
        <x:v>35.058718321273204</x:v>
      </x:c>
      <x:c r="I9" s="58" t="n">
        <x:v>1229.2510824099872</x:v>
      </x:c>
      <x:c r="J9" s="58" t="n">
        <x:v>1294.656616639776</x:v>
      </x:c>
      <x:c r="K9" s="58" t="n">
        <x:v>148.51574911516892</x:v>
      </x:c>
      <x:c r="L9" s="58" t="n">
        <x:v>-83.11021488538009</x:v>
      </x:c>
      <x:c r="M9" s="59" t="n">
        <x:f>E9/I9</x:f>
        <x:v>0.5549763037873916</x:v>
      </x:c>
      <x:c r="N9" s="59" t="n">
        <x:f>F9/I9</x:f>
        <x:v>0.19512461317172172</x:v>
      </x:c>
      <x:c r="O9" s="59" t="n">
        <x:f>(I9-$I$5)/$I$5</x:f>
        <x:v>-0.03877789208130173</x:v>
      </x:c>
      <x:c r="Q9" t="str">
        <x:v>2024-25</x:v>
      </x:c>
      <x:c r="R9" t="n">
        <x:v>1229.2510824099872</x:v>
      </x:c>
      <x:c r="S9" t="n">
        <x:v>1294.656616639776</x:v>
      </x:c>
      <x:c r="T9" t="n">
        <x:v>-83.11021488538009</x:v>
      </x:c>
    </x:row>
    <x:row r="10" ht="19" customHeight="1">
      <x:c r="A10" s="40" t="str">
        <x:v>2025-26</x:v>
      </x:c>
      <x:c r="B10" s="40" t="n">
        <x:v>2025</x:v>
      </x:c>
      <x:c r="C10" s="58" t="n">
        <x:v>5374.4660160988715</x:v>
      </x:c>
      <x:c r="D10" s="58" t="n">
        <x:v>129.61155245925514</x:v>
      </x:c>
      <x:c r="E10" s="58" t="n">
        <x:v>684.4388198773212</x:v>
      </x:c>
      <x:c r="F10" s="58" t="n">
        <x:v>240.74615126103885</x:v>
      </x:c>
      <x:c r="G10" s="58" t="n">
        <x:v>272.13</x:v>
      </x:c>
      <x:c r="H10" s="58" t="n">
        <x:v>35.05871832127366</x:v>
      </x:c>
      <x:c r="I10" s="58" t="n">
        <x:v>1232.3736894596336</x:v>
      </x:c>
      <x:c r="J10" s="58" t="n">
        <x:v>1287.656616639776</x:v>
      </x:c>
      <x:c r="K10" s="58" t="n">
        <x:v>145.0667581475241</x:v>
      </x:c>
      <x:c r="L10" s="58" t="n">
        <x:v>-89.78383096738165</x:v>
      </x:c>
      <x:c r="M10" s="59" t="n">
        <x:f>E10/I10</x:f>
        <x:v>0.55538253188238</x:v>
      </x:c>
      <x:c r="N10" s="59" t="n">
        <x:f>F10/I10</x:f>
        <x:v>0.19535158314407075</x:v>
      </x:c>
      <x:c r="O10" s="59" t="n">
        <x:f>(I10-$I$5)/$I$5</x:f>
        <x:v>-0.036336146067478176</x:v>
      </x:c>
      <x:c r="Q10" t="str">
        <x:v>2025-26</x:v>
      </x:c>
      <x:c r="R10" t="n">
        <x:v>1232.3736894596336</x:v>
      </x:c>
      <x:c r="S10" t="n">
        <x:v>1287.656616639776</x:v>
      </x:c>
      <x:c r="T10" t="n">
        <x:v>-89.78383096738165</x:v>
      </x:c>
    </x:row>
    <x:row r="11" ht="19" customHeight="1">
      <x:c r="A11" s="40" t="str">
        <x:v>2026-27</x:v>
      </x:c>
      <x:c r="B11" s="40" t="n">
        <x:v>2026</x:v>
      </x:c>
      <x:c r="C11" s="58" t="n">
        <x:v>5407.006133512317</x:v>
      </x:c>
      <x:c r="D11" s="58" t="n">
        <x:v>129.27285092617686</x:v>
      </x:c>
      <x:c r="E11" s="58" t="n">
        <x:v>686.8567948045613</x:v>
      </x:c>
      <x:c r="F11" s="58" t="n">
        <x:v>240.94013161498376</x:v>
      </x:c>
      <x:c r="G11" s="58" t="n">
        <x:v>272.13</x:v>
      </x:c>
      <x:c r="H11" s="58" t="n">
        <x:v>35.05871832127343</x:v>
      </x:c>
      <x:c r="I11" s="58" t="n">
        <x:v>1234.9856447408185</x:v>
      </x:c>
      <x:c r="J11" s="58" t="n">
        <x:v>1285.656616639776</x:v>
      </x:c>
      <x:c r="K11" s="58" t="n">
        <x:v>159.70734978283258</x:v>
      </x:c>
      <x:c r="L11" s="58" t="n">
        <x:v>-109.03637788387505</x:v>
      </x:c>
      <x:c r="M11" s="59" t="n">
        <x:f>E11/I11</x:f>
        <x:v>0.5561658127197983</x:v>
      </x:c>
      <x:c r="N11" s="59" t="n">
        <x:f>F11/I11</x:f>
        <x:v>0.19509549170958088</x:v>
      </x:c>
      <x:c r="O11" s="59" t="n">
        <x:f>(I11-$I$5)/$I$5</x:f>
        <x:v>-0.03429370803582097</x:v>
      </x:c>
      <x:c r="Q11" t="str">
        <x:v>2026-27</x:v>
      </x:c>
      <x:c r="R11" t="n">
        <x:v>1234.9856447408185</x:v>
      </x:c>
      <x:c r="S11" t="n">
        <x:v>1285.656616639776</x:v>
      </x:c>
      <x:c r="T11" t="n">
        <x:v>-109.03637788387505</x:v>
      </x:c>
    </x:row>
    <x:row r="12" ht="19" customHeight="1">
      <x:c r="A12" s="40" t="str">
        <x:v>2027-28</x:v>
      </x:c>
      <x:c r="B12" s="40" t="n">
        <x:v>2027</x:v>
      </x:c>
      <x:c r="C12" s="58" t="n">
        <x:v>5438.742218308759</x:v>
      </x:c>
      <x:c r="D12" s="58" t="n">
        <x:v>128.96807146147947</x:v>
      </x:c>
      <x:c r="E12" s="58" t="n">
        <x:v>689.3303721062521</x:v>
      </x:c>
      <x:c r="F12" s="58" t="n">
        <x:v>241.13089248563418</x:v>
      </x:c>
      <x:c r="G12" s="58" t="n">
        <x:v>272.13</x:v>
      </x:c>
      <x:c r="H12" s="58" t="n">
        <x:v>35.05871832127343</x:v>
      </x:c>
      <x:c r="I12" s="58" t="n">
        <x:v>1237.6499829131596</x:v>
      </x:c>
      <x:c r="J12" s="58" t="n">
        <x:v>1283.656616639776</x:v>
      </x:c>
      <x:c r="K12" s="58" t="n">
        <x:v>184.1093820069576</x:v>
      </x:c>
      <x:c r="L12" s="58" t="n">
        <x:v>-138.10274828034116</x:v>
      </x:c>
      <x:c r="M12" s="59" t="n">
        <x:f>E12/I12</x:f>
        <x:v>0.5569671406480513</x:v>
      </x:c>
      <x:c r="N12" s="59" t="n">
        <x:f>F12/I12</x:f>
        <x:v>0.19482963343001417</x:v>
      </x:c>
      <x:c r="O12" s="59" t="n">
        <x:f>(I12-$I$5)/$I$5</x:f>
        <x:v>-0.03221030880935456</x:v>
      </x:c>
      <x:c r="Q12" t="str">
        <x:v>2027-28</x:v>
      </x:c>
      <x:c r="R12" t="n">
        <x:v>1237.6499829131596</x:v>
      </x:c>
      <x:c r="S12" t="n">
        <x:v>1283.656616639776</x:v>
      </x:c>
      <x:c r="T12" t="n">
        <x:v>-138.10274828034116</x:v>
      </x:c>
    </x:row>
    <x:row r="13" ht="19" customHeight="1">
      <x:c r="A13" s="40" t="str">
        <x:v>2028-29</x:v>
      </x:c>
      <x:c r="B13" s="40" t="n">
        <x:v>2028</x:v>
      </x:c>
      <x:c r="C13" s="58" t="n">
        <x:v>5469.91682934028</x:v>
      </x:c>
      <x:c r="D13" s="58" t="n">
        <x:v>128.71149747570914</x:v>
      </x:c>
      <x:c r="E13" s="58" t="n">
        <x:v>691.9715229191808</x:v>
      </x:c>
      <x:c r="F13" s="58" t="n">
        <x:v>240.6734628963541</x:v>
      </x:c>
      <x:c r="G13" s="58" t="n">
        <x:v>272.13</x:v>
      </x:c>
      <x:c r="H13" s="58" t="n">
        <x:v>35.05871832127332</x:v>
      </x:c>
      <x:c r="I13" s="58" t="n">
        <x:v>1239.8337041368081</x:v>
      </x:c>
      <x:c r="J13" s="58" t="n">
        <x:v>1281.656616639776</x:v>
      </x:c>
      <x:c r="K13" s="58" t="n">
        <x:v>197.34208146426218</x:v>
      </x:c>
      <x:c r="L13" s="58" t="n">
        <x:v>-155.51916896129424</x:v>
      </x:c>
      <x:c r="M13" s="59" t="n">
        <x:f>E13/I13</x:f>
        <x:v>0.5581163994899964</x:v>
      </x:c>
      <x:c r="N13" s="59" t="n">
        <x:f>F13/I13</x:f>
        <x:v>0.19411753535440043</x:v>
      </x:c>
      <x:c r="O13" s="59" t="n">
        <x:f>(I13-$I$5)/$I$5</x:f>
        <x:v>-0.030502731612361604</x:v>
      </x:c>
      <x:c r="Q13" t="str">
        <x:v>2028-29</x:v>
      </x:c>
      <x:c r="R13" t="n">
        <x:v>1239.8337041368081</x:v>
      </x:c>
      <x:c r="S13" t="n">
        <x:v>1281.656616639776</x:v>
      </x:c>
      <x:c r="T13" t="n">
        <x:v>-155.51916896129424</x:v>
      </x:c>
    </x:row>
    <x:row r="14" ht="19" customHeight="1">
      <x:c r="A14" s="40" t="str">
        <x:v>2029-2030</x:v>
      </x:c>
      <x:c r="B14" s="40" t="n">
        <x:v>2029</x:v>
      </x:c>
      <x:c r="C14" s="58" t="n">
        <x:v>5500.187904643919</x:v>
      </x:c>
      <x:c r="D14" s="58" t="n">
        <x:v>128.47349881195706</x:v>
      </x:c>
      <x:c r="E14" s="58" t="n">
        <x:v>694.5810388287174</x:v>
      </x:c>
      <x:c r="F14" s="58" t="n">
        <x:v>241.49795139561854</x:v>
      </x:c>
      <x:c r="G14" s="58" t="n">
        <x:v>272.13</x:v>
      </x:c>
      <x:c r="H14" s="58" t="n">
        <x:v>35.05871832127343</x:v>
      </x:c>
      <x:c r="I14" s="58" t="n">
        <x:v>1243.2677085456094</x:v>
      </x:c>
      <x:c r="J14" s="58" t="n">
        <x:v>1279.656616639776</x:v>
      </x:c>
      <x:c r="K14" s="58" t="n">
        <x:v>214.31323189429173</x:v>
      </x:c>
      <x:c r="L14" s="58" t="n">
        <x:v>-177.92432380012502</x:v>
      </x:c>
      <x:c r="M14" s="59" t="n">
        <x:f>E14/I14</x:f>
        <x:v>0.5586737546986138</x:v>
      </x:c>
      <x:c r="N14" s="59" t="n">
        <x:f>F14/I14</x:f>
        <x:v>0.19424452974663514</x:v>
      </x:c>
      <x:c r="O14" s="59" t="n">
        <x:f>(I14-$I$5)/$I$5</x:f>
        <x:v>-0.027817486096890012</x:v>
      </x:c>
      <x:c r="Q14" t="str">
        <x:v>2029-2030</x:v>
      </x:c>
      <x:c r="R14" t="n">
        <x:v>1243.2677085456094</x:v>
      </x:c>
      <x:c r="S14" t="n">
        <x:v>1279.656616639776</x:v>
      </x:c>
      <x:c r="T14" t="n">
        <x:v>-177.92432380012502</x:v>
      </x:c>
    </x:row>
    <x:row r="15" ht="19" customHeight="1">
      <x:c r="A15" s="40" t="str">
        <x:v>2030-2031</x:v>
      </x:c>
      <x:c r="B15" s="40" t="n">
        <x:v>2030</x:v>
      </x:c>
      <x:c r="C15" s="58" t="n">
        <x:v>5530.480553714258</x:v>
      </x:c>
      <x:c r="D15" s="58" t="n">
        <x:v>127.9795621005615</x:v>
      </x:c>
      <x:c r="E15" s="58" t="n">
        <x:v>695.7874519931659</x:v>
      </x:c>
      <x:c r="F15" s="58" t="n">
        <x:v>241.728556962701</x:v>
      </x:c>
      <x:c r="G15" s="58" t="n">
        <x:v>272.13</x:v>
      </x:c>
      <x:c r="H15" s="58" t="n">
        <x:v>35.058718321273545</x:v>
      </x:c>
      <x:c r="I15" s="58" t="n">
        <x:v>1244.7047272771404</x:v>
      </x:c>
      <x:c r="J15" s="58" t="n">
        <x:v>1193.156616639776</x:v>
      </x:c>
      <x:c r="K15" s="58" t="n">
        <x:v>180.83515194033902</x:v>
      </x:c>
      <x:c r="L15" s="58" t="n">
        <x:v>-232.3832625777033</x:v>
      </x:c>
      <x:c r="M15" s="59" t="n">
        <x:f>E15/I15</x:f>
        <x:v>0.5589979990798613</x:v>
      </x:c>
      <x:c r="N15" s="59" t="n">
        <x:f>F15/I15</x:f>
        <x:v>0.19420554262013243</x:v>
      </x:c>
      <x:c r="O15" s="59" t="n">
        <x:f>(I15-$I$5)/$I$5</x:f>
        <x:v>-0.02669379851669866</x:v>
      </x:c>
      <x:c r="Q15" t="str">
        <x:v>2030-2031</x:v>
      </x:c>
      <x:c r="R15" t="n">
        <x:v>1244.7047272771404</x:v>
      </x:c>
      <x:c r="S15" t="n">
        <x:v>1193.156616639776</x:v>
      </x:c>
      <x:c r="T15" t="n">
        <x:v>-232.3832625777033</x:v>
      </x:c>
    </x:row>
    <x:row r="16" ht="19" customHeight="1">
      <x:c r="A16" s="40" t="str">
        <x:v>2031-2032</x:v>
      </x:c>
      <x:c r="B16" s="40" t="n">
        <x:v>2031</x:v>
      </x:c>
      <x:c r="C16" s="58" t="n">
        <x:v>5559.15289985498</x:v>
      </x:c>
      <x:c r="D16" s="58" t="n">
        <x:v>127.54413412833364</x:v>
      </x:c>
      <x:c r="E16" s="58" t="n">
        <x:v>697.0771470094021</x:v>
      </x:c>
      <x:c r="F16" s="58" t="n">
        <x:v>241.97493194592988</x:v>
      </x:c>
      <x:c r="G16" s="58" t="n">
        <x:v>272.13</x:v>
      </x:c>
      <x:c r="H16" s="58" t="n">
        <x:v>35.05871832127343</x:v>
      </x:c>
      <x:c r="I16" s="58" t="n">
        <x:v>1246.2407972766055</x:v>
      </x:c>
      <x:c r="J16" s="58" t="n">
        <x:v>1192.656616639776</x:v>
      </x:c>
      <x:c r="K16" s="58" t="n">
        <x:v>180.04576419586152</x:v>
      </x:c>
      <x:c r="L16" s="58" t="n">
        <x:v>-233.6299448326909</x:v>
      </x:c>
      <x:c r="M16" s="59" t="n">
        <x:f>E16/I16</x:f>
        <x:v>0.5593438671986314</x:v>
      </x:c>
      <x:c r="N16" s="59" t="n">
        <x:f>F16/I16</x:f>
        <x:v>0.19416386662570725</x:v>
      </x:c>
      <x:c r="O16" s="59" t="n">
        <x:f>(I16-$I$5)/$I$5</x:f>
        <x:v>-0.02549265705428743</x:v>
      </x:c>
      <x:c r="Q16" t="str">
        <x:v>2031-2032</x:v>
      </x:c>
      <x:c r="R16" t="n">
        <x:v>1246.2407972766055</x:v>
      </x:c>
      <x:c r="S16" t="n">
        <x:v>1192.656616639776</x:v>
      </x:c>
      <x:c r="T16" t="n">
        <x:v>-233.6299448326909</x:v>
      </x:c>
    </x:row>
    <x:row r="17" ht="19" customHeight="1">
      <x:c r="A17" s="40" t="str">
        <x:v>2032-33</x:v>
      </x:c>
      <x:c r="B17" s="40" t="n">
        <x:v>2032</x:v>
      </x:c>
      <x:c r="C17" s="58" t="n">
        <x:v>5587.441930091958</x:v>
      </x:c>
      <x:c r="D17" s="58" t="n">
        <x:v>127.12686360934582</x:v>
      </x:c>
      <x:c r="E17" s="58" t="n">
        <x:v>698.3929007907009</x:v>
      </x:c>
      <x:c r="F17" s="58" t="n">
        <x:v>241.5521572170834</x:v>
      </x:c>
      <x:c r="G17" s="58" t="n">
        <x:v>272.13</x:v>
      </x:c>
      <x:c r="H17" s="58" t="n">
        <x:v>35.058718321273545</x:v>
      </x:c>
      <x:c r="I17" s="58" t="n">
        <x:v>1247.1337763290578</x:v>
      </x:c>
      <x:c r="J17" s="58" t="n">
        <x:v>1192.156616639776</x:v>
      </x:c>
      <x:c r="K17" s="58" t="n">
        <x:v>183.95141973844306</x:v>
      </x:c>
      <x:c r="L17" s="58" t="n">
        <x:v>-238.9285794277248</x:v>
      </x:c>
      <x:c r="M17" s="59" t="n">
        <x:f>E17/I17</x:f>
        <x:v>0.5599983851342898</x:v>
      </x:c>
      <x:c r="N17" s="59" t="n">
        <x:f>F17/I17</x:f>
        <x:v>0.19368584333277616</x:v>
      </x:c>
      <x:c r="O17" s="59" t="n">
        <x:f>(I17-$I$5)/$I$5</x:f>
        <x:v>-0.02479438538350504</x:v>
      </x:c>
      <x:c r="Q17" t="str">
        <x:v>2032-33</x:v>
      </x:c>
      <x:c r="R17" t="n">
        <x:v>1247.1337763290578</x:v>
      </x:c>
      <x:c r="S17" t="n">
        <x:v>1192.156616639776</x:v>
      </x:c>
      <x:c r="T17" t="n">
        <x:v>-238.9285794277248</x:v>
      </x:c>
    </x:row>
    <x:row r="18" ht="19" customHeight="1">
      <x:c r="A18" s="40" t="str">
        <x:v>2033-34</x:v>
      </x:c>
      <x:c r="B18" s="40" t="n">
        <x:v>2033</x:v>
      </x:c>
      <x:c r="C18" s="58" t="n">
        <x:v>5615.021352979902</x:v>
      </x:c>
      <x:c r="D18" s="58" t="n">
        <x:v>126.72922466031216</x:v>
      </x:c>
      <x:c r="E18" s="58" t="n">
        <x:v>699.7035229301684</x:v>
      </x:c>
      <x:c r="F18" s="58" t="n">
        <x:v>242.38690631908335</x:v>
      </x:c>
      <x:c r="G18" s="58" t="n">
        <x:v>272.13</x:v>
      </x:c>
      <x:c r="H18" s="58" t="n">
        <x:v>35.058718321273545</x:v>
      </x:c>
      <x:c r="I18" s="58" t="n">
        <x:v>1249.2791475705253</x:v>
      </x:c>
      <x:c r="J18" s="58" t="n">
        <x:v>1191.656616639776</x:v>
      </x:c>
      <x:c r="K18" s="58" t="n">
        <x:v>186.50530036454248</x:v>
      </x:c>
      <x:c r="L18" s="58" t="n">
        <x:v>-244.1278312952917</x:v>
      </x:c>
      <x:c r="M18" s="59" t="n">
        <x:f>E18/I18</x:f>
        <x:v>0.560085809717454</x:v>
      </x:c>
      <x:c r="N18" s="59" t="n">
        <x:f>F18/I18</x:f>
        <x:v>0.19402141370121598</x:v>
      </x:c>
      <x:c r="O18" s="59" t="n">
        <x:f>(I18-$I$5)/$I$5</x:f>
        <x:v>-0.023116796242848292</x:v>
      </x:c>
      <x:c r="Q18" t="str">
        <x:v>2033-34</x:v>
      </x:c>
      <x:c r="R18" t="n">
        <x:v>1249.2791475705253</x:v>
      </x:c>
      <x:c r="S18" t="n">
        <x:v>1191.656616639776</x:v>
      </x:c>
      <x:c r="T18" t="n">
        <x:v>-244.1278312952917</x:v>
      </x:c>
    </x:row>
    <x:row r="19" ht="19" customHeight="1">
      <x:c r="A19" s="40" t="str">
        <x:v>2034-35</x:v>
      </x:c>
      <x:c r="B19" s="40" t="n">
        <x:v>2034</x:v>
      </x:c>
      <x:c r="C19" s="58" t="n">
        <x:v>5642.144137419895</x:v>
      </x:c>
      <x:c r="D19" s="58" t="n">
        <x:v>126.34902258857744</x:v>
      </x:c>
      <x:c r="E19" s="58" t="n">
        <x:v>701.0312701716772</x:v>
      </x:c>
      <x:c r="F19" s="58" t="n">
        <x:v>242.54674229343152</x:v>
      </x:c>
      <x:c r="G19" s="58" t="n">
        <x:v>272.13</x:v>
      </x:c>
      <x:c r="H19" s="58" t="n">
        <x:v>35.05871832127343</x:v>
      </x:c>
      <x:c r="I19" s="58" t="n">
        <x:v>1250.7667307863821</x:v>
      </x:c>
      <x:c r="J19" s="58" t="n">
        <x:v>1191.156616639776</x:v>
      </x:c>
      <x:c r="K19" s="58" t="n">
        <x:v>191.4424314839486</x:v>
      </x:c>
      <x:c r="L19" s="58" t="n">
        <x:v>-251.05254563055468</x:v>
      </x:c>
      <x:c r="M19" s="59" t="n">
        <x:f>E19/I19</x:f>
        <x:v>0.5604812255686756</x:v>
      </x:c>
      <x:c r="N19" s="59" t="n">
        <x:f>F19/I19</x:f>
        <x:v>0.1939184472399082</x:v>
      </x:c>
      <x:c r="O19" s="59" t="n">
        <x:f>(I19-$I$5)/$I$5</x:f>
        <x:v>-0.02195356938471365</x:v>
      </x:c>
      <x:c r="Q19" t="str">
        <x:v>2034-35</x:v>
      </x:c>
      <x:c r="R19" t="n">
        <x:v>1250.7667307863821</x:v>
      </x:c>
      <x:c r="S19" t="n">
        <x:v>1191.156616639776</x:v>
      </x:c>
      <x:c r="T19" t="n">
        <x:v>-251.05254563055468</x:v>
      </x:c>
    </x:row>
    <x:row r="20" ht="19" customHeight="1">
      <x:c r="A20" s="40" t="str">
        <x:v>2035-36</x:v>
      </x:c>
      <x:c r="B20" s="40" t="n">
        <x:v>2035</x:v>
      </x:c>
      <x:c r="C20" s="58" t="n">
        <x:v>5668.770122290779</x:v>
      </x:c>
      <x:c r="D20" s="58" t="n">
        <x:v>126.09267454612781</x:v>
      </x:c>
      <x:c r="E20" s="58" t="n">
        <x:v>702.9662977366103</x:v>
      </x:c>
      <x:c r="F20" s="58" t="n">
        <x:v>242.7031877233156</x:v>
      </x:c>
      <x:c r="G20" s="58" t="n">
        <x:v>272.13</x:v>
      </x:c>
      <x:c r="H20" s="58" t="n">
        <x:v>35.05871832127366</x:v>
      </x:c>
      <x:c r="I20" s="58" t="n">
        <x:v>1252.8582037811996</x:v>
      </x:c>
      <x:c r="J20" s="58" t="n">
        <x:v>1185.656616639776</x:v>
      </x:c>
      <x:c r="K20" s="58" t="n">
        <x:v>156.35414560043304</x:v>
      </x:c>
      <x:c r="L20" s="58" t="n">
        <x:v>-223.55573274185653</x:v>
      </x:c>
      <x:c r="M20" s="59" t="n">
        <x:f>E20/I20</x:f>
        <x:v>0.5610900703806837</x:v>
      </x:c>
      <x:c r="N20" s="59" t="n">
        <x:f>F20/I20</x:f>
        <x:v>0.19371959810840775</x:v>
      </x:c>
      <x:c r="O20" s="59" t="n">
        <x:f>(I20-$I$5)/$I$5</x:f>
        <x:v>-0.020318126382465454</x:v>
      </x:c>
      <x:c r="Q20" t="str">
        <x:v>2035-36</x:v>
      </x:c>
      <x:c r="R20" t="n">
        <x:v>1252.8582037811996</x:v>
      </x:c>
      <x:c r="S20" t="n">
        <x:v>1185.656616639776</x:v>
      </x:c>
      <x:c r="T20" t="n">
        <x:v>-223.55573274185653</x:v>
      </x:c>
    </x:row>
    <x:row r="21" ht="19" customHeight="1">
      <x:c r="A21" s="40" t="str">
        <x:v>2036-37</x:v>
      </x:c>
      <x:c r="B21" s="40" t="n">
        <x:v>2036</x:v>
      </x:c>
      <x:c r="C21" s="58" t="n">
        <x:v>5695.681276558198</x:v>
      </x:c>
      <x:c r="D21" s="58" t="n">
        <x:v>125.85709036635232</x:v>
      </x:c>
      <x:c r="E21" s="58" t="n">
        <x:v>705.0398761868023</x:v>
      </x:c>
      <x:c r="F21" s="58" t="n">
        <x:v>242.1971066767929</x:v>
      </x:c>
      <x:c r="G21" s="58" t="n">
        <x:v>272.13</x:v>
      </x:c>
      <x:c r="H21" s="58" t="n">
        <x:v>35.058718321273545</x:v>
      </x:c>
      <x:c r="I21" s="58" t="n">
        <x:v>1254.4257011848688</x:v>
      </x:c>
      <x:c r="J21" s="58" t="n">
        <x:v>1185.156616639776</x:v>
      </x:c>
      <x:c r="K21" s="58" t="n">
        <x:v>157.44930187492062</x:v>
      </x:c>
      <x:c r="L21" s="58" t="n">
        <x:v>-226.71838642001333</x:v>
      </x:c>
      <x:c r="M21" s="59" t="n">
        <x:f>E21/I21</x:f>
        <x:v>0.5620419571448961</x:v>
      </x:c>
      <x:c r="N21" s="59" t="n">
        <x:f>F21/I21</x:f>
        <x:v>0.19307409474154225</x:v>
      </x:c>
      <x:c r="O21" s="59" t="n">
        <x:f>(I21-$I$5)/$I$5</x:f>
        <x:v>-0.019092410025512523</x:v>
      </x:c>
      <x:c r="Q21" t="str">
        <x:v>2036-37</x:v>
      </x:c>
      <x:c r="R21" t="n">
        <x:v>1254.4257011848688</x:v>
      </x:c>
      <x:c r="S21" t="n">
        <x:v>1185.156616639776</x:v>
      </x:c>
      <x:c r="T21" t="n">
        <x:v>-226.71838642001333</x:v>
      </x:c>
    </x:row>
    <x:row r="22" ht="19" customHeight="1">
      <x:c r="A22" s="40" t="str">
        <x:v>2037-38</x:v>
      </x:c>
      <x:c r="B22" s="40" t="n">
        <x:v>2037</x:v>
      </x:c>
      <x:c r="C22" s="58" t="n">
        <x:v>5722.38963741862</x:v>
      </x:c>
      <x:c r="D22" s="58" t="n">
        <x:v>125.62695358082087</x:v>
      </x:c>
      <x:c r="E22" s="58" t="n">
        <x:v>707.105961033225</x:v>
      </x:c>
      <x:c r="F22" s="58" t="n">
        <x:v>243.02864622854725</x:v>
      </x:c>
      <x:c r="G22" s="58" t="n">
        <x:v>272.13</x:v>
      </x:c>
      <x:c r="H22" s="58" t="n">
        <x:v>35.058718321273545</x:v>
      </x:c>
      <x:c r="I22" s="58" t="n">
        <x:v>1257.3233255830457</x:v>
      </x:c>
      <x:c r="J22" s="58" t="n">
        <x:v>1184.656616639776</x:v>
      </x:c>
      <x:c r="K22" s="58" t="n">
        <x:v>162.37093274058643</x:v>
      </x:c>
      <x:c r="L22" s="58" t="n">
        <x:v>-235.0376416838561</x:v>
      </x:c>
      <x:c r="M22" s="59" t="n">
        <x:f>E22/I22</x:f>
        <x:v>0.5623899172516551</x:v>
      </x:c>
      <x:c r="N22" s="59" t="n">
        <x:f>F22/I22</x:f>
        <x:v>0.19329049360939043</x:v>
      </x:c>
      <x:c r="O22" s="59" t="n">
        <x:f>(I22-$I$5)/$I$5</x:f>
        <x:v>-0.01682659088422553</x:v>
      </x:c>
      <x:c r="Q22" t="str">
        <x:v>2037-38</x:v>
      </x:c>
      <x:c r="R22" t="n">
        <x:v>1257.3233255830457</x:v>
      </x:c>
      <x:c r="S22" t="n">
        <x:v>1184.656616639776</x:v>
      </x:c>
      <x:c r="T22" t="n">
        <x:v>-235.0376416838561</x:v>
      </x:c>
    </x:row>
    <x:row r="23" ht="19" customHeight="1">
      <x:c r="A23" s="40" t="str">
        <x:v>2038-39</x:v>
      </x:c>
      <x:c r="B23" s="40" t="n">
        <x:v>2038</x:v>
      </x:c>
      <x:c r="C23" s="58" t="n">
        <x:v>5748.495487253094</x:v>
      </x:c>
      <x:c r="D23" s="58" t="n">
        <x:v>125.40315649629916</x:v>
      </x:c>
      <x:c r="E23" s="58" t="n">
        <x:v>709.1200490121419</x:v>
      </x:c>
      <x:c r="F23" s="58" t="n">
        <x:v>243.2274168869663</x:v>
      </x:c>
      <x:c r="G23" s="58" t="n">
        <x:v>272.13</x:v>
      </x:c>
      <x:c r="H23" s="58" t="n">
        <x:v>35.05871832127343</x:v>
      </x:c>
      <x:c r="I23" s="58" t="n">
        <x:v>1259.5361842203815</x:v>
      </x:c>
      <x:c r="J23" s="58" t="n">
        <x:v>1184.156616639776</x:v>
      </x:c>
      <x:c r="K23" s="58" t="n">
        <x:v>160.9506728175178</x:v>
      </x:c>
      <x:c r="L23" s="58" t="n">
        <x:v>-236.33024039812327</x:v>
      </x:c>
      <x:c r="M23" s="59" t="n">
        <x:f>E23/I23</x:f>
        <x:v>0.5630009347060305</x:v>
      </x:c>
      <x:c r="N23" s="59" t="n">
        <x:f>F23/I23</x:f>
        <x:v>0.19310871726763246</x:v>
      </x:c>
      <x:c r="O23" s="59" t="n">
        <x:f>(I23-$I$5)/$I$5</x:f>
        <x:v>-0.015096229467959087</x:v>
      </x:c>
      <x:c r="Q23" t="str">
        <x:v>2038-39</x:v>
      </x:c>
      <x:c r="R23" t="n">
        <x:v>1259.5361842203815</x:v>
      </x:c>
      <x:c r="S23" t="n">
        <x:v>1184.156616639776</x:v>
      </x:c>
      <x:c r="T23" t="n">
        <x:v>-236.33024039812327</x:v>
      </x:c>
    </x:row>
    <x:row r="24" ht="19" customHeight="1">
      <x:c r="A24" s="40" t="str">
        <x:v>2039-40</x:v>
      </x:c>
      <x:c r="B24" s="40" t="n">
        <x:v>2039</x:v>
      </x:c>
      <x:c r="C24" s="58" t="n">
        <x:v>5775.547370309593</x:v>
      </x:c>
      <x:c r="D24" s="58" t="n">
        <x:v>125.17715168145195</x:v>
      </x:c>
      <x:c r="E24" s="58" t="n">
        <x:v>711.2283321720302</x:v>
      </x:c>
      <x:c r="F24" s="58" t="n">
        <x:v>243.43544665096712</x:v>
      </x:c>
      <x:c r="G24" s="58" t="n">
        <x:v>272.13</x:v>
      </x:c>
      <x:c r="H24" s="58" t="n">
        <x:v>35.05871832127343</x:v>
      </x:c>
      <x:c r="I24" s="58" t="n">
        <x:v>1261.8524971442707</x:v>
      </x:c>
      <x:c r="J24" s="58" t="n">
        <x:v>1183.656616639776</x:v>
      </x:c>
      <x:c r="K24" s="58" t="n">
        <x:v>166.30726554874263</x:v>
      </x:c>
      <x:c r="L24" s="58" t="n">
        <x:v>-244.5031460532373</x:v>
      </x:c>
      <x:c r="M24" s="59" t="n">
        <x:f>E24/I24</x:f>
        <x:v>0.5636382491468919</x:v>
      </x:c>
      <x:c r="N24" s="59" t="n">
        <x:f>F24/I24</x:f>
        <x:v>0.19291909886606545</x:v>
      </x:c>
      <x:c r="O24" s="59" t="n">
        <x:f>(I24-$I$5)/$I$5</x:f>
        <x:v>-0.01328497119602412</x:v>
      </x:c>
      <x:c r="Q24" t="str">
        <x:v>2039-40</x:v>
      </x:c>
      <x:c r="R24" t="n">
        <x:v>1261.8524971442707</x:v>
      </x:c>
      <x:c r="S24" t="n">
        <x:v>1183.656616639776</x:v>
      </x:c>
      <x:c r="T24" t="n">
        <x:v>-244.5031460532373</x:v>
      </x:c>
    </x:row>
    <x:row r="25" ht="19" customHeight="1">
      <x:c r="A25" s="40" t="str">
        <x:v>2040-41</x:v>
      </x:c>
      <x:c r="B25" s="40" t="n">
        <x:v>2040</x:v>
      </x:c>
      <x:c r="C25" s="58" t="n">
        <x:v>5802.671492512479</x:v>
      </x:c>
      <x:c r="D25" s="58" t="n">
        <x:v>124.95473009519561</x:v>
      </x:c>
      <x:c r="E25" s="58" t="n">
        <x:v>713.3538702727659</x:v>
      </x:c>
      <x:c r="F25" s="58" t="n">
        <x:v>242.99916191206972</x:v>
      </x:c>
      <x:c r="G25" s="58" t="n">
        <x:v>272.13</x:v>
      </x:c>
      <x:c r="H25" s="58" t="n">
        <x:v>35.05871832127366</x:v>
      </x:c>
      <x:c r="I25" s="58" t="n">
        <x:v>1263.5417505061093</x:v>
      </x:c>
      <x:c r="J25" s="58" t="n">
        <x:v>1183.156616639776</x:v>
      </x:c>
      <x:c r="K25" s="58" t="n">
        <x:v>133.74895645768882</x:v>
      </x:c>
      <x:c r="L25" s="58" t="n">
        <x:v>-214.13409032402208</x:v>
      </x:c>
      <x:c r="M25" s="59" t="n">
        <x:f>E25/I25</x:f>
        <x:v>0.5645669167536674</x:v>
      </x:c>
      <x:c r="N25" s="59" t="n">
        <x:f>F25/I25</x:f>
        <x:v>0.19231589444095287</x:v>
      </x:c>
      <x:c r="O25" s="59" t="n">
        <x:f>(I25-$I$5)/$I$5</x:f>
        <x:v>-0.01196404685395086</x:v>
      </x:c>
      <x:c r="Q25" t="str">
        <x:v>2040-41</x:v>
      </x:c>
      <x:c r="R25" t="n">
        <x:v>1263.5417505061093</x:v>
      </x:c>
      <x:c r="S25" t="n">
        <x:v>1183.156616639776</x:v>
      </x:c>
      <x:c r="T25" t="n">
        <x:v>-214.13409032402208</x:v>
      </x:c>
    </x:row>
    <x:row r="26" ht="19" customHeight="1">
      <x:c r="A26" s="40" t="str">
        <x:v>2041-42</x:v>
      </x:c>
      <x:c r="B26" s="40" t="n">
        <x:v>2041</x:v>
      </x:c>
      <x:c r="C26" s="58" t="n">
        <x:v>5829.868079959539</x:v>
      </x:c>
      <x:c r="D26" s="58" t="n">
        <x:v>124.73577771992944</x:v>
      </x:c>
      <x:c r="E26" s="58" t="n">
        <x:v>715.4962808742139</x:v>
      </x:c>
      <x:c r="F26" s="58" t="n">
        <x:v>243.8809820420828</x:v>
      </x:c>
      <x:c r="G26" s="58" t="n">
        <x:v>272.13</x:v>
      </x:c>
      <x:c r="H26" s="58" t="n">
        <x:v>35.058718321273545</x:v>
      </x:c>
      <x:c r="I26" s="58" t="n">
        <x:v>1266.5659812375702</x:v>
      </x:c>
      <x:c r="J26" s="58" t="n">
        <x:v>1182.656616639776</x:v>
      </x:c>
      <x:c r="K26" s="58" t="n">
        <x:v>133.45777764493099</x:v>
      </x:c>
      <x:c r="L26" s="58" t="n">
        <x:v>-217.36714224272512</x:v>
      </x:c>
      <x:c r="M26" s="59" t="n">
        <x:f>E26/I26</x:f>
        <x:v>0.564910388778244</x:v>
      </x:c>
      <x:c r="N26" s="59" t="n">
        <x:f>F26/I26</x:f>
        <x:v>0.19255292314403158</x:v>
      </x:c>
      <x:c r="O26" s="59" t="n">
        <x:f>(I26-$I$5)/$I$5</x:f>
        <x:v>-0.009599226940326588</x:v>
      </x:c>
      <x:c r="Q26" t="str">
        <x:v>2041-42</x:v>
      </x:c>
      <x:c r="R26" t="n">
        <x:v>1266.5659812375702</x:v>
      </x:c>
      <x:c r="S26" t="n">
        <x:v>1182.656616639776</x:v>
      </x:c>
      <x:c r="T26" t="n">
        <x:v>-217.36714224272512</x:v>
      </x:c>
    </x:row>
    <x:row r="27" ht="19" customHeight="1">
      <x:c r="A27" s="40" t="str">
        <x:v>2042-43</x:v>
      </x:c>
      <x:c r="B27" s="40" t="n">
        <x:v>2042</x:v>
      </x:c>
      <x:c r="C27" s="58" t="n">
        <x:v>5857.141890187303</x:v>
      </x:c>
      <x:c r="D27" s="58" t="n">
        <x:v>124.53149284592456</x:v>
      </x:c>
      <x:c r="E27" s="58" t="n">
        <x:v>717.7209317167842</x:v>
      </x:c>
      <x:c r="F27" s="58" t="n">
        <x:v>244.1186436235383</x:v>
      </x:c>
      <x:c r="G27" s="58" t="n">
        <x:v>272.13</x:v>
      </x:c>
      <x:c r="H27" s="58" t="n">
        <x:v>35.05871832127332</x:v>
      </x:c>
      <x:c r="I27" s="58" t="n">
        <x:v>1269.0282936615959</x:v>
      </x:c>
      <x:c r="J27" s="58" t="n">
        <x:v>1182.156616639776</x:v>
      </x:c>
      <x:c r="K27" s="58" t="n">
        <x:v>136.4076086360843</x:v>
      </x:c>
      <x:c r="L27" s="58" t="n">
        <x:v>-223.27928565790407</x:v>
      </x:c>
      <x:c r="M27" s="59" t="n">
        <x:f>E27/I27</x:f>
        <x:v>0.5655673205251439</x:v>
      </x:c>
      <x:c r="N27" s="59" t="n">
        <x:f>F27/I27</x:f>
        <x:v>0.19236658854876246</x:v>
      </x:c>
      <x:c r="O27" s="59" t="n">
        <x:f>(I27-$I$5)/$I$5</x:f>
        <x:v>-0.007673803263711979</x:v>
      </x:c>
      <x:c r="Q27" t="str">
        <x:v>2042-43</x:v>
      </x:c>
      <x:c r="R27" t="n">
        <x:v>1269.0282936615959</x:v>
      </x:c>
      <x:c r="S27" t="n">
        <x:v>1182.156616639776</x:v>
      </x:c>
      <x:c r="T27" t="n">
        <x:v>-223.27928565790407</x:v>
      </x:c>
    </x:row>
    <x:row r="28" ht="19" customHeight="1">
      <x:c r="A28" s="40" t="str">
        <x:v>2043-44</x:v>
      </x:c>
      <x:c r="B28" s="40" t="n">
        <x:v>2043</x:v>
      </x:c>
      <x:c r="C28" s="58" t="n">
        <x:v>5884.523672878968</x:v>
      </x:c>
      <x:c r="D28" s="58" t="n">
        <x:v>124.32953486178106</x:v>
      </x:c>
      <x:c r="E28" s="58" t="n">
        <x:v>719.9613376595878</x:v>
      </x:c>
      <x:c r="F28" s="58" t="n">
        <x:v>244.36364330165742</x:v>
      </x:c>
      <x:c r="G28" s="58" t="n">
        <x:v>272.13</x:v>
      </x:c>
      <x:c r="H28" s="58" t="n">
        <x:v>35.05871832127343</x:v>
      </x:c>
      <x:c r="I28" s="58" t="n">
        <x:v>1271.5136992825187</x:v>
      </x:c>
      <x:c r="J28" s="58" t="n">
        <x:v>1181.656616639776</x:v>
      </x:c>
      <x:c r="K28" s="58" t="n">
        <x:v>139.63264241872</x:v>
      </x:c>
      <x:c r="L28" s="58" t="n">
        <x:v>-229.48972506146262</x:v>
      </x:c>
      <x:c r="M28" s="59" t="n">
        <x:f>E28/I28</x:f>
        <x:v>0.5662238150212954</x:v>
      </x:c>
      <x:c r="N28" s="59" t="n">
        <x:f>F28/I28</x:f>
        <x:v>0.19218325641284503</x:v>
      </x:c>
      <x:c r="O28" s="59" t="n">
        <x:f>(I28-$I$5)/$I$5</x:f>
        <x:v>-0.005730321688497357</x:v>
      </x:c>
      <x:c r="Q28" t="str">
        <x:v>2043-44</x:v>
      </x:c>
      <x:c r="R28" t="n">
        <x:v>1271.5136992825187</x:v>
      </x:c>
      <x:c r="S28" t="n">
        <x:v>1181.656616639776</x:v>
      </x:c>
      <x:c r="T28" t="n">
        <x:v>-229.48972506146262</x:v>
      </x:c>
    </x:row>
    <x:row r="29" ht="19" customHeight="1">
      <x:c r="A29" s="40" t="str">
        <x:v>2044-45</x:v>
      </x:c>
      <x:c r="B29" s="40" t="n">
        <x:v>2044</x:v>
      </x:c>
      <x:c r="C29" s="58" t="n">
        <x:v>5912.181270052472</x:v>
      </x:c>
      <x:c r="D29" s="58" t="n">
        <x:v>124.14363786304689</x:v>
      </x:c>
      <x:c r="E29" s="58" t="n">
        <x:v>722.3183692167512</x:v>
      </x:c>
      <x:c r="F29" s="58" t="n">
        <x:v>243.9605670971787</x:v>
      </x:c>
      <x:c r="G29" s="58" t="n">
        <x:v>272.13</x:v>
      </x:c>
      <x:c r="H29" s="58" t="n">
        <x:v>35.058718321273545</x:v>
      </x:c>
      <x:c r="I29" s="58" t="n">
        <x:v>1273.4676546352034</x:v>
      </x:c>
      <x:c r="J29" s="58" t="n">
        <x:v>1181.156616639776</x:v>
      </x:c>
      <x:c r="K29" s="58" t="n">
        <x:v>142.74031937651284</x:v>
      </x:c>
      <x:c r="L29" s="58" t="n">
        <x:v>-235.05135737194018</x:v>
      </x:c>
      <x:c r="M29" s="59" t="n">
        <x:f>E29/I29</x:f>
        <x:v>0.5672059016086011</x:v>
      </x:c>
      <x:c r="N29" s="59" t="n">
        <x:f>F29/I29</x:f>
        <x:v>0.1915718598813281</x:v>
      </x:c>
      <x:c r="O29" s="59" t="n">
        <x:f>(I29-$I$5)/$I$5</x:f>
        <x:v>-0.004202411638416797</x:v>
      </x:c>
      <x:c r="Q29" t="str">
        <x:v>2044-45</x:v>
      </x:c>
      <x:c r="R29" t="n">
        <x:v>1273.4676546352034</x:v>
      </x:c>
      <x:c r="S29" t="n">
        <x:v>1181.156616639776</x:v>
      </x:c>
      <x:c r="T29" t="n">
        <x:v>-235.05135737194018</x:v>
      </x:c>
    </x:row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</x:sheetData>
  <x:mergeCells>
    <x:mergeCell ref="A1:O2"/>
  </x:mergeCells>
  <x:pageMargins left="0.7" right="0.7" top="0.75" bottom="0.75" header="0.3" footer="0.3"/>
  <x:drawing xmlns:r="http://schemas.openxmlformats.org/officeDocument/2006/relationships" r:id="R2b6843c00994451c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2" hidden="0" customWidth="1"/>
  </x:cols>
  <x:sheetData>
    <x:row r="1" ht="19" customHeight="1">
      <x:c r="A1" s="5" t="str">
        <x:v>Scenario Comparison for 2044-45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19" customHeight="1">
      <x:c r="A2" s="48" t="str">
        <x:v>Scenario</x:v>
      </x:c>
      <x:c r="B2" s="48" t="str">
        <x:v>Financial Year</x:v>
      </x:c>
      <x:c r="C2" s="48" t="str">
        <x:v>Population (000s)</x:v>
      </x:c>
      <x:c r="D2" s="48" t="str">
        <x:v>PCC (l/h/d)</x:v>
      </x:c>
      <x:c r="E2" s="48" t="str">
        <x:v>Household Demand (Ml/d)</x:v>
      </x:c>
      <x:c r="F2" s="48" t="str">
        <x:v>Non-Household Demand (Ml/d)</x:v>
      </x:c>
      <x:c r="G2" s="48" t="str">
        <x:v>Leakage (Ml/d)</x:v>
      </x:c>
      <x:c r="H2" s="48" t="str">
        <x:v>Total Demand (Ml/d)</x:v>
      </x:c>
      <x:c r="I2" s="48" t="str">
        <x:v>Demand Change (Ml/d)</x:v>
      </x:c>
      <x:c r="J2" s="48" t="str">
        <x:v>Demand Change (%)</x:v>
      </x:c>
      <x:c r="K2" s="48" t="str">
        <x:v>Supply-Demand Balance (Ml/d)</x:v>
      </x:c>
      <x:c r="L2" s="48" t="str">
        <x:v>SDB Improvement (Ml/d)</x:v>
      </x:c>
      <x:c r="M2" s="48" t="str">
        <x:v>Status</x:v>
      </x:c>
      <x:c r="O2" t="str">
        <x:v>Scenario</x:v>
      </x:c>
      <x:c r="P2" t="str">
        <x:v>Total Demand (Ml/d)</x:v>
      </x:c>
    </x:row>
    <x:row r="3" ht="19" customHeight="1">
      <x:c r="A3" s="40" t="str">
        <x:v>Combined Efficiency</x:v>
      </x:c>
      <x:c r="B3" s="40" t="str">
        <x:v>2044-45</x:v>
      </x:c>
      <x:c r="C3" s="58" t="n">
        <x:v>5912.181270052472</x:v>
      </x:c>
      <x:c r="D3" s="58" t="n">
        <x:v>110</x:v>
      </x:c>
      <x:c r="E3" s="58" t="n">
        <x:v>640.024909705772</x:v>
      </x:c>
      <x:c r="F3" s="58" t="n">
        <x:v>219.56451038746084</x:v>
      </x:c>
      <x:c r="G3" s="58" t="n">
        <x:v>217.704</x:v>
      </x:c>
      <x:c r="H3" s="58" t="n">
        <x:v>1112.3521384145063</x:v>
      </x:c>
      <x:c r="I3" s="58" t="n">
        <x:v>-161.11551622069715</x:v>
      </x:c>
      <x:c r="J3" s="59" t="n">
        <x:v>-0.12651716408678645</x:v>
      </x:c>
      <x:c r="K3" s="58" t="n">
        <x:v>-73.93584115124304</x:v>
      </x:c>
      <x:c r="L3" s="58" t="n">
        <x:v>161.11551622069712</x:v>
      </x:c>
      <x:c r="M3" s="40" t="str">
        <x:v>Deficit</x:v>
      </x:c>
      <x:c r="O3" t="str">
        <x:v>Combined Efficiency</x:v>
      </x:c>
      <x:c r="P3" t="n">
        <x:v>1112.3521384145063</x:v>
      </x:c>
    </x:row>
    <x:row r="4" ht="19" customHeight="1">
      <x:c r="A4" s="40" t="str">
        <x:v>Growth plus Efficiency</x:v>
      </x:c>
      <x:c r="B4" s="40" t="str">
        <x:v>2044-45</x:v>
      </x:c>
      <x:c r="C4" s="58" t="n">
        <x:v>6089.546708154046</x:v>
      </x:c>
      <x:c r="D4" s="58" t="n">
        <x:v>110</x:v>
      </x:c>
      <x:c r="E4" s="58" t="n">
        <x:v>659.2256569969452</x:v>
      </x:c>
      <x:c r="F4" s="58" t="n">
        <x:v>219.56451038746084</x:v>
      </x:c>
      <x:c r="G4" s="58" t="n">
        <x:v>217.704</x:v>
      </x:c>
      <x:c r="H4" s="58" t="n">
        <x:v>1131.5528857056795</x:v>
      </x:c>
      <x:c r="I4" s="58" t="n">
        <x:v>-141.91476892952392</x:v>
      </x:c>
      <x:c r="J4" s="59" t="n">
        <x:v>-0.11143963367501211</x:v>
      </x:c>
      <x:c r="K4" s="58" t="n">
        <x:v>-93.13658844241627</x:v>
      </x:c>
      <x:c r="L4" s="58" t="n">
        <x:v>141.9147689295239</x:v>
      </x:c>
      <x:c r="M4" s="40" t="str">
        <x:v>Deficit</x:v>
      </x:c>
      <x:c r="O4" t="str">
        <x:v>Growth plus Efficiency</x:v>
      </x:c>
      <x:c r="P4" t="n">
        <x:v>1131.5528857056795</x:v>
      </x:c>
    </x:row>
    <x:row r="5" ht="19" customHeight="1">
      <x:c r="A5" s="40" t="str">
        <x:v>PCC 110</x:v>
      </x:c>
      <x:c r="B5" s="40" t="str">
        <x:v>2044-45</x:v>
      </x:c>
      <x:c r="C5" s="58" t="n">
        <x:v>5912.181270052472</x:v>
      </x:c>
      <x:c r="D5" s="58" t="n">
        <x:v>110</x:v>
      </x:c>
      <x:c r="E5" s="58" t="n">
        <x:v>640.024909705772</x:v>
      </x:c>
      <x:c r="F5" s="58" t="n">
        <x:v>243.9605670971787</x:v>
      </x:c>
      <x:c r="G5" s="58" t="n">
        <x:v>272.13</x:v>
      </x:c>
      <x:c r="H5" s="58" t="n">
        <x:v>1191.174195124224</x:v>
      </x:c>
      <x:c r="I5" s="58" t="n">
        <x:v>-82.29345951097935</x:v>
      </x:c>
      <x:c r="J5" s="59" t="n">
        <x:v>-0.06462155454945816</x:v>
      </x:c>
      <x:c r="K5" s="58" t="n">
        <x:v>-152.75789786096084</x:v>
      </x:c>
      <x:c r="L5" s="58" t="n">
        <x:v>82.29345951097932</x:v>
      </x:c>
      <x:c r="M5" s="40" t="str">
        <x:v>Deficit</x:v>
      </x:c>
      <x:c r="O5" t="str">
        <x:v>PCC 110</x:v>
      </x:c>
      <x:c r="P5" t="n">
        <x:v>1191.174195124224</x:v>
      </x:c>
    </x:row>
    <x:row r="6" ht="19" customHeight="1">
      <x:c r="A6" s="40" t="str">
        <x:v>Non-Household Efficiency</x:v>
      </x:c>
      <x:c r="B6" s="40" t="str">
        <x:v>2044-45</x:v>
      </x:c>
      <x:c r="C6" s="58" t="n">
        <x:v>5912.181270052472</x:v>
      </x:c>
      <x:c r="D6" s="58" t="n">
        <x:v>124.14363786304688</x:v>
      </x:c>
      <x:c r="E6" s="58" t="n">
        <x:v>722.3183692167512</x:v>
      </x:c>
      <x:c r="F6" s="58" t="n">
        <x:v>219.56451038746084</x:v>
      </x:c>
      <x:c r="G6" s="58" t="n">
        <x:v>272.13</x:v>
      </x:c>
      <x:c r="H6" s="58" t="n">
        <x:v>1249.0715979254855</x:v>
      </x:c>
      <x:c r="I6" s="58" t="n">
        <x:v>-24.396056709717868</x:v>
      </x:c>
      <x:c r="J6" s="59" t="n">
        <x:v>-0.01915718598813281</x:v>
      </x:c>
      <x:c r="K6" s="58" t="n">
        <x:v>-210.65530066222232</x:v>
      </x:c>
      <x:c r="L6" s="58" t="n">
        <x:v>24.39605670971784</x:v>
      </x:c>
      <x:c r="M6" s="40" t="str">
        <x:v>Deficit</x:v>
      </x:c>
      <x:c r="O6" t="str">
        <x:v>Non-Household Efficiency</x:v>
      </x:c>
      <x:c r="P6" t="n">
        <x:v>1249.0715979254855</x:v>
      </x:c>
    </x:row>
    <x:row r="7" ht="19" customHeight="1">
      <x:c r="A7" s="40" t="str">
        <x:v>Published Baseline</x:v>
      </x:c>
      <x:c r="B7" s="40" t="str">
        <x:v>2044-45</x:v>
      </x:c>
      <x:c r="C7" s="58" t="n">
        <x:v>5912.181270052472</x:v>
      </x:c>
      <x:c r="D7" s="58" t="n">
        <x:v>124.14363786304688</x:v>
      </x:c>
      <x:c r="E7" s="58" t="n">
        <x:v>722.3183692167512</x:v>
      </x:c>
      <x:c r="F7" s="58" t="n">
        <x:v>243.9605670971787</x:v>
      </x:c>
      <x:c r="G7" s="58" t="n">
        <x:v>272.13</x:v>
      </x:c>
      <x:c r="H7" s="58" t="n">
        <x:v>1273.4676546352034</x:v>
      </x:c>
      <x:c r="I7" s="58" t="n">
        <x:v>0</x:v>
      </x:c>
      <x:c r="J7" s="59" t="n">
        <x:v>0</x:v>
      </x:c>
      <x:c r="K7" s="58" t="n">
        <x:v>-235.05135737194018</x:v>
      </x:c>
      <x:c r="L7" s="58" t="n">
        <x:v>-2.842170943040401e-14</x:v>
      </x:c>
      <x:c r="M7" s="40" t="str">
        <x:v>Deficit</x:v>
      </x:c>
      <x:c r="O7" t="str">
        <x:v>Published Baseline</x:v>
      </x:c>
      <x:c r="P7" t="n">
        <x:v>1273.4676546352034</x:v>
      </x:c>
    </x:row>
    <x:row r="8" ht="19" customHeight="1">
      <x:c r="A8" s="40" t="str">
        <x:v>Higher Population Stress</x:v>
      </x:c>
      <x:c r="B8" s="40" t="str">
        <x:v>2044-45</x:v>
      </x:c>
      <x:c r="C8" s="58" t="n">
        <x:v>6089.546708154046</x:v>
      </x:c>
      <x:c r="D8" s="58" t="n">
        <x:v>124.14363786304688</x:v>
      </x:c>
      <x:c r="E8" s="58" t="n">
        <x:v>743.9879202932538</x:v>
      </x:c>
      <x:c r="F8" s="58" t="n">
        <x:v>243.9605670971787</x:v>
      </x:c>
      <x:c r="G8" s="58" t="n">
        <x:v>272.13</x:v>
      </x:c>
      <x:c r="H8" s="58" t="n">
        <x:v>1295.137205711706</x:v>
      </x:c>
      <x:c r="I8" s="58" t="n">
        <x:v>21.669551076502557</x:v>
      </x:c>
      <x:c r="J8" s="59" t="n">
        <x:v>0.01701617704825805</x:v>
      </x:c>
      <x:c r="K8" s="58" t="n">
        <x:v>-256.72090844844274</x:v>
      </x:c>
      <x:c r="L8" s="58" t="n">
        <x:v>-21.669551076502586</x:v>
      </x:c>
      <x:c r="M8" s="40" t="str">
        <x:v>Deficit</x:v>
      </x:c>
      <x:c r="O8" t="str">
        <x:v>Higher Population Stress</x:v>
      </x:c>
      <x:c r="P8" t="n">
        <x:v>1295.137205711706</x:v>
      </x:c>
    </x:row>
    <x:row r="9" ht="19" customHeight="1"/>
    <x:row r="10" ht="19" customHeight="1"/>
    <x:row r="11" ht="19" customHeight="1"/>
    <x:row r="12" ht="19" customHeight="1"/>
    <x:row r="13" ht="19" customHeight="1"/>
    <x:row r="14" ht="19" customHeight="1"/>
    <x:row r="15" ht="19" customHeight="1"/>
    <x:row r="16" ht="19" customHeight="1"/>
    <x:row r="17" ht="19" customHeight="1"/>
    <x:row r="18" ht="19" customHeight="1"/>
    <x:row r="19" ht="19" customHeight="1"/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</x:sheetData>
  <x:mergeCells>
    <x:mergeCell ref="A1:M1"/>
  </x:mergeCells>
  <x:conditionalFormatting sqref="I3:I8">
    <x:cfRule type="expression" dxfId="0" priority="1">
      <x:formula>I3&lt;0</x:formula>
    </x:cfRule>
    <x:cfRule type="expression" dxfId="1" priority="2">
      <x:formula>I3&gt;0</x:formula>
    </x:cfRule>
  </x:conditionalFormatting>
  <x:conditionalFormatting sqref="K3:K8">
    <x:cfRule type="expression" dxfId="2" priority="3">
      <x:formula>K3&lt;0</x:formula>
    </x:cfRule>
    <x:cfRule type="expression" dxfId="3" priority="4">
      <x:formula>K3&gt;=0</x:formula>
    </x:cfRule>
  </x:conditionalFormatting>
  <x:pageMargins left="0.7" right="0.7" top="0.75" bottom="0.75" header="0.3" footer="0.3"/>
  <x:drawing xmlns:r="http://schemas.openxmlformats.org/officeDocument/2006/relationships" r:id="R68f199c299b64f69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9" max="9" width="26" hidden="0" customWidth="1"/>
    <x:col min="10" max="10" width="70" hidden="0" customWidth="1"/>
  </x:cols>
  <x:sheetData>
    <x:row r="1" ht="19" customHeight="1">
      <x:c r="A1" s="5" t="str">
        <x:v>Illustrative Scenario Assumptions</x:v>
      </x:c>
      <x:c r="B1" s="5"/>
      <x:c r="C1" s="5"/>
      <x:c r="D1" s="5"/>
      <x:c r="E1" s="5"/>
      <x:c r="F1" s="5"/>
      <x:c r="G1" s="5"/>
      <x:c r="I1" s="48" t="str">
        <x:v>Scenario</x:v>
      </x:c>
      <x:c r="J1" s="48" t="str">
        <x:v>Description</x:v>
      </x:c>
    </x:row>
    <x:row r="2" ht="19" customHeight="1">
      <x:c r="A2" s="48" t="str">
        <x:v>Scenario</x:v>
      </x:c>
      <x:c r="B2" s="48" t="str">
        <x:v>Start Year</x:v>
      </x:c>
      <x:c r="C2" s="48" t="str">
        <x:v>End Year</x:v>
      </x:c>
      <x:c r="D2" s="48" t="str">
        <x:v>PCC Target (l/h/d)</x:v>
      </x:c>
      <x:c r="E2" s="48" t="str">
        <x:v>Population Change at End (%)</x:v>
      </x:c>
      <x:c r="F2" s="48" t="str">
        <x:v>NHH Change at End (%)</x:v>
      </x:c>
      <x:c r="G2" s="48" t="str">
        <x:v>Leakage Change at End (%)</x:v>
      </x:c>
      <x:c r="I2" t="str">
        <x:v>Published Baseline</x:v>
      </x:c>
      <x:c r="J2" s="40" t="str">
        <x:v>Published Severn Trent baseline trajectory with no additional adjustments</x:v>
      </x:c>
    </x:row>
    <x:row r="3" ht="19" customHeight="1">
      <x:c r="A3" s="40" t="str">
        <x:v>Published Baseline</x:v>
      </x:c>
      <x:c r="B3" s="40" t="n">
        <x:v>2025</x:v>
      </x:c>
      <x:c r="C3" s="40" t="n">
        <x:v>2044</x:v>
      </x:c>
      <x:c r="D3" s="63"/>
      <x:c r="E3" s="63" t="n">
        <x:v>0</x:v>
      </x:c>
      <x:c r="F3" s="63" t="n">
        <x:v>0</x:v>
      </x:c>
      <x:c r="G3" s="63" t="n">
        <x:v>0</x:v>
      </x:c>
      <x:c r="I3" t="str">
        <x:v>PCC 110</x:v>
      </x:c>
      <x:c r="J3" s="40" t="str">
        <x:v>Illustrative household efficiency case reaching 110 litres per head per day by 2044-45</x:v>
      </x:c>
    </x:row>
    <x:row r="4" ht="19" customHeight="1">
      <x:c r="A4" s="40" t="str">
        <x:v>PCC 110</x:v>
      </x:c>
      <x:c r="B4" s="40" t="n">
        <x:v>2025</x:v>
      </x:c>
      <x:c r="C4" s="40" t="n">
        <x:v>2044</x:v>
      </x:c>
      <x:c r="D4" s="63" t="n">
        <x:v>110</x:v>
      </x:c>
      <x:c r="E4" s="63" t="n">
        <x:v>0</x:v>
      </x:c>
      <x:c r="F4" s="63" t="n">
        <x:v>0</x:v>
      </x:c>
      <x:c r="G4" s="63" t="n">
        <x:v>0</x:v>
      </x:c>
      <x:c r="I4" t="str">
        <x:v>Higher Population Stress</x:v>
      </x:c>
      <x:c r="J4" s="40" t="str">
        <x:v>Illustrative population sensitivity ending 3 percent above the published baseline</x:v>
      </x:c>
    </x:row>
    <x:row r="5" ht="19" customHeight="1">
      <x:c r="A5" s="40" t="str">
        <x:v>Higher Population Stress</x:v>
      </x:c>
      <x:c r="B5" s="40" t="n">
        <x:v>2025</x:v>
      </x:c>
      <x:c r="C5" s="40" t="n">
        <x:v>2044</x:v>
      </x:c>
      <x:c r="D5" s="63"/>
      <x:c r="E5" s="63" t="n">
        <x:v>3</x:v>
      </x:c>
      <x:c r="F5" s="63" t="n">
        <x:v>0</x:v>
      </x:c>
      <x:c r="G5" s="63" t="n">
        <x:v>0</x:v>
      </x:c>
      <x:c r="I5" t="str">
        <x:v>Non-Household Efficiency</x:v>
      </x:c>
      <x:c r="J5" s="40" t="str">
        <x:v>Illustrative non-household demand reduction ending 10 percent below baseline</x:v>
      </x:c>
    </x:row>
    <x:row r="6" ht="19" customHeight="1">
      <x:c r="A6" s="40" t="str">
        <x:v>Non-Household Efficiency</x:v>
      </x:c>
      <x:c r="B6" s="40" t="n">
        <x:v>2025</x:v>
      </x:c>
      <x:c r="C6" s="40" t="n">
        <x:v>2044</x:v>
      </x:c>
      <x:c r="D6" s="63"/>
      <x:c r="E6" s="63" t="n">
        <x:v>0</x:v>
      </x:c>
      <x:c r="F6" s="63" t="n">
        <x:v>-10</x:v>
      </x:c>
      <x:c r="G6" s="63" t="n">
        <x:v>0</x:v>
      </x:c>
      <x:c r="I6" t="str">
        <x:v>Combined Efficiency</x:v>
      </x:c>
      <x:c r="J6" s="40" t="str">
        <x:v>Illustrative combined PCC non-household and leakage demand-management case</x:v>
      </x:c>
    </x:row>
    <x:row r="7" ht="19" customHeight="1">
      <x:c r="A7" s="40" t="str">
        <x:v>Combined Efficiency</x:v>
      </x:c>
      <x:c r="B7" s="40" t="n">
        <x:v>2025</x:v>
      </x:c>
      <x:c r="C7" s="40" t="n">
        <x:v>2044</x:v>
      </x:c>
      <x:c r="D7" s="63" t="n">
        <x:v>110</x:v>
      </x:c>
      <x:c r="E7" s="63" t="n">
        <x:v>0</x:v>
      </x:c>
      <x:c r="F7" s="63" t="n">
        <x:v>-10</x:v>
      </x:c>
      <x:c r="G7" s="63" t="n">
        <x:v>-20</x:v>
      </x:c>
      <x:c r="I7" t="str">
        <x:v>Growth plus Efficiency</x:v>
      </x:c>
      <x:c r="J7" s="40" t="str">
        <x:v>Illustrative combined efficiency case with population ending 3 percent above baseline</x:v>
      </x:c>
    </x:row>
    <x:row r="8" ht="19" customHeight="1">
      <x:c r="A8" s="40" t="str">
        <x:v>Growth plus Efficiency</x:v>
      </x:c>
      <x:c r="B8" s="40" t="n">
        <x:v>2025</x:v>
      </x:c>
      <x:c r="C8" s="40" t="n">
        <x:v>2044</x:v>
      </x:c>
      <x:c r="D8" s="63" t="n">
        <x:v>110</x:v>
      </x:c>
      <x:c r="E8" s="63" t="n">
        <x:v>3</x:v>
      </x:c>
      <x:c r="F8" s="63" t="n">
        <x:v>-10</x:v>
      </x:c>
      <x:c r="G8" s="63" t="n">
        <x:v>-20</x:v>
      </x:c>
    </x:row>
    <x:row r="9" ht="19" customHeight="1"/>
    <x:row r="10" ht="19" customHeight="1">
      <x:c r="A10" s="22" t="str">
        <x:v>Important interpretation</x:v>
      </x:c>
      <x:c r="B10" s="22"/>
      <x:c r="C10" s="22"/>
      <x:c r="D10" s="22"/>
      <x:c r="E10" s="22"/>
      <x:c r="F10" s="22"/>
      <x:c r="G10" s="22"/>
    </x:row>
    <x:row r="11" ht="19" customHeight="1">
      <x:c r="A11" s="40" t="str">
        <x:v>Only the Published Baseline is extracted from the source workbook. The other five cases are transparent, user-defined sensitivities intended to test the direction and scale of change. They must not be represented as Severn Trent forecasts.</x:v>
      </x:c>
      <x:c r="B11" s="40"/>
      <x:c r="C11" s="40"/>
      <x:c r="D11" s="40"/>
      <x:c r="E11" s="40"/>
      <x:c r="F11" s="40"/>
      <x:c r="G11" s="40"/>
    </x:row>
    <x:row r="12" ht="19" customHeight="1">
      <x:c r="A12" s="40"/>
      <x:c r="B12" s="40"/>
      <x:c r="C12" s="40"/>
      <x:c r="D12" s="40"/>
      <x:c r="E12" s="40"/>
      <x:c r="F12" s="40"/>
      <x:c r="G12" s="40"/>
    </x:row>
    <x:row r="13" ht="19" customHeight="1">
      <x:c r="A13" s="40"/>
      <x:c r="B13" s="40"/>
      <x:c r="C13" s="40"/>
      <x:c r="D13" s="40"/>
      <x:c r="E13" s="40"/>
      <x:c r="F13" s="40"/>
      <x:c r="G13" s="40"/>
    </x:row>
    <x:row r="14" ht="19" customHeight="1"/>
    <x:row r="15" ht="19" customHeight="1"/>
    <x:row r="16" ht="19" customHeight="1"/>
    <x:row r="17" ht="19" customHeight="1"/>
    <x:row r="18" ht="19" customHeight="1"/>
    <x:row r="19" ht="19" customHeight="1"/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</x:sheetData>
  <x:mergeCells>
    <x:mergeCell ref="A1:G1"/>
    <x:mergeCell ref="A10:G10"/>
    <x:mergeCell ref="A11:G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12" hidden="0" customWidth="1"/>
    <x:col min="4" max="4" width="55" hidden="0" customWidth="1"/>
    <x:col min="6" max="6" width="22" hidden="0" customWidth="1"/>
    <x:col min="7" max="7" width="18" hidden="0" customWidth="1"/>
  </x:cols>
  <x:sheetData>
    <x:row r="1" ht="19" customHeight="1">
      <x:c r="A1" s="5" t="str">
        <x:v>Automated Data Quality and Model Validation</x:v>
      </x:c>
      <x:c r="B1" s="5"/>
      <x:c r="C1" s="5"/>
      <x:c r="D1" s="5"/>
    </x:row>
    <x:row r="2" ht="19" customHeight="1"/>
    <x:row r="3" ht="19" customHeight="1">
      <x:c r="A3" s="48" t="str">
        <x:v>Stage</x:v>
      </x:c>
      <x:c r="B3" s="48" t="str">
        <x:v>Check</x:v>
      </x:c>
      <x:c r="C3" s="48" t="str">
        <x:v>Status</x:v>
      </x:c>
      <x:c r="D3" s="48" t="str">
        <x:v>Detail</x:v>
      </x:c>
      <x:c r="F3" s="48" t="str">
        <x:v>Validation Summary</x:v>
      </x:c>
      <x:c r="G3" s="48" t="str">
        <x:v>Result</x:v>
      </x:c>
    </x:row>
    <x:row r="4" ht="19" customHeight="1">
      <x:c r="A4" s="40" t="str">
        <x:v>Baseline extraction</x:v>
      </x:c>
      <x:c r="B4" s="40" t="str">
        <x:v>Source years extracted</x:v>
      </x:c>
      <x:c r="C4" s="40" t="str">
        <x:v>PASS</x:v>
      </x:c>
      <x:c r="D4" s="40" t="str">
        <x:v>25 annual rows</x:v>
      </x:c>
      <x:c r="F4" s="12" t="str">
        <x:v>Baseline checks</x:v>
      </x:c>
      <x:c r="G4" s="31" t="str">
        <x:v>8/8 PASS</x:v>
      </x:c>
    </x:row>
    <x:row r="5" ht="19" customHeight="1">
      <x:c r="A5" s="40" t="str">
        <x:v>Baseline extraction</x:v>
      </x:c>
      <x:c r="B5" s="40" t="str">
        <x:v>No duplicate years</x:v>
      </x:c>
      <x:c r="C5" s="40" t="str">
        <x:v>PASS</x:v>
      </x:c>
      <x:c r="D5" s="40" t="str">
        <x:v>25 unique years</x:v>
      </x:c>
      <x:c r="F5" s="12" t="str">
        <x:v>Scenario checks</x:v>
      </x:c>
      <x:c r="G5" s="31" t="str">
        <x:v>4/4 PASS</x:v>
      </x:c>
    </x:row>
    <x:row r="6" ht="19" customHeight="1">
      <x:c r="A6" s="40" t="str">
        <x:v>Baseline extraction</x:v>
      </x:c>
      <x:c r="B6" s="40" t="str">
        <x:v>Population positive</x:v>
      </x:c>
      <x:c r="C6" s="40" t="str">
        <x:v>PASS</x:v>
      </x:c>
      <x:c r="D6" s="40" t="str">
        <x:v>All extracted population values &gt; 0</x:v>
      </x:c>
      <x:c r="F6" s="12" t="str">
        <x:v>Overall</x:v>
      </x:c>
      <x:c r="G6" s="31" t="str">
        <x:v>12/12 PASS</x:v>
      </x:c>
    </x:row>
    <x:row r="7" ht="19" customHeight="1">
      <x:c r="A7" s="40" t="str">
        <x:v>Baseline extraction</x:v>
      </x:c>
      <x:c r="B7" s="40" t="str">
        <x:v>Distribution input positive</x:v>
      </x:c>
      <x:c r="C7" s="40" t="str">
        <x:v>PASS</x:v>
      </x:c>
      <x:c r="D7" s="40" t="str">
        <x:v>All extracted DI values &gt; 0</x:v>
      </x:c>
    </x:row>
    <x:row r="8" ht="19" customHeight="1">
      <x:c r="A8" s="40" t="str">
        <x:v>Baseline extraction</x:v>
      </x:c>
      <x:c r="B8" s="40" t="str">
        <x:v>PCC plausible</x:v>
      </x:c>
      <x:c r="C8" s="40" t="str">
        <x:v>PASS</x:v>
      </x:c>
      <x:c r="D8" s="40" t="str">
        <x:v>Average PCC between 80 and 200 l/h/d</x:v>
      </x:c>
    </x:row>
    <x:row r="9" ht="19" customHeight="1">
      <x:c r="A9" s="40" t="str">
        <x:v>Baseline extraction</x:v>
      </x:c>
      <x:c r="B9" s="40" t="str">
        <x:v>Metering penetration in range</x:v>
      </x:c>
      <x:c r="C9" s="40" t="str">
        <x:v>PASS</x:v>
      </x:c>
      <x:c r="D9" s="40" t="str">
        <x:v>All values between 0 and 1</x:v>
      </x:c>
    </x:row>
    <x:row r="10" ht="19" customHeight="1">
      <x:c r="A10" s="40" t="str">
        <x:v>Baseline extraction</x:v>
      </x:c>
      <x:c r="B10" s="40" t="str">
        <x:v>SDB reconciles to published</x:v>
      </x:c>
      <x:c r="C10" s="40" t="str">
        <x:v>PASS</x:v>
      </x:c>
      <x:c r="D10" s="40" t="str">
        <x:v>Max error 0.000000 Ml/d</x:v>
      </x:c>
    </x:row>
    <x:row r="11" ht="19" customHeight="1">
      <x:c r="A11" s="40" t="str">
        <x:v>Baseline extraction</x:v>
      </x:c>
      <x:c r="B11" s="40" t="str">
        <x:v>Demand components reconcile</x:v>
      </x:c>
      <x:c r="C11" s="40" t="str">
        <x:v>PASS</x:v>
      </x:c>
      <x:c r="D11" s="40" t="str">
        <x:v>Max error 0.00000000 Ml/d</x:v>
      </x:c>
    </x:row>
    <x:row r="12" ht="19" customHeight="1">
      <x:c r="A12" s="40" t="str">
        <x:v>Scenario engine</x:v>
      </x:c>
      <x:c r="B12" s="40" t="str">
        <x:v>All scenarios produced</x:v>
      </x:c>
      <x:c r="C12" s="40" t="str">
        <x:v>PASS</x:v>
      </x:c>
      <x:c r="D12" s="40" t="str">
        <x:v>6 of 6 scenarios</x:v>
      </x:c>
    </x:row>
    <x:row r="13" ht="19" customHeight="1">
      <x:c r="A13" s="40" t="str">
        <x:v>Scenario engine</x:v>
      </x:c>
      <x:c r="B13" s="40" t="str">
        <x:v>No missing scenario demand</x:v>
      </x:c>
      <x:c r="C13" s="40" t="str">
        <x:v>PASS</x:v>
      </x:c>
      <x:c r="D13" s="40" t="str">
        <x:v>Scenario DI complete</x:v>
      </x:c>
    </x:row>
    <x:row r="14" ht="19" customHeight="1">
      <x:c r="A14" s="40" t="str">
        <x:v>Scenario engine</x:v>
      </x:c>
      <x:c r="B14" s="40" t="str">
        <x:v>Published baseline unchanged</x:v>
      </x:c>
      <x:c r="C14" s="40" t="str">
        <x:v>PASS</x:v>
      </x:c>
      <x:c r="D14" s="40" t="str">
        <x:v>Baseline delta is zero</x:v>
      </x:c>
    </x:row>
    <x:row r="15" ht="19" customHeight="1">
      <x:c r="A15" s="40" t="str">
        <x:v>Scenario engine</x:v>
      </x:c>
      <x:c r="B15" s="40" t="str">
        <x:v>SDB formula reconciles</x:v>
      </x:c>
      <x:c r="C15" s="40" t="str">
        <x:v>PASS</x:v>
      </x:c>
      <x:c r="D15" s="40" t="str">
        <x:v>SDB formula exact</x:v>
      </x:c>
    </x:row>
    <x:row r="16" ht="19" customHeight="1"/>
    <x:row r="17" ht="19" customHeight="1"/>
    <x:row r="18" ht="19" customHeight="1"/>
    <x:row r="19" ht="19" customHeight="1"/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</x:sheetData>
  <x:mergeCells>
    <x:mergeCell ref="A1:D1"/>
  </x:mergeCells>
  <x:conditionalFormatting sqref="C4:C15">
    <x:cfRule type="expression" dxfId="4" priority="1">
      <x:formula>C4="PASS"</x:formula>
    </x:cfRule>
    <x:cfRule type="expression" dxfId="5" priority="2">
      <x:formula>C4="FAIL"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28" hidden="0" customWidth="1"/>
    <x:col min="4" max="4" width="58" hidden="0" customWidth="1"/>
    <x:col min="5" max="5" width="20" hidden="0" customWidth="1"/>
    <x:col min="6" max="6" width="80" hidden="0" customWidth="1"/>
  </x:cols>
  <x:sheetData>
    <x:row r="1" ht="19" customHeight="1">
      <x:c r="A1" s="5" t="str">
        <x:v>Source Register and Model Provenance</x:v>
      </x:c>
      <x:c r="B1" s="5"/>
      <x:c r="C1" s="5"/>
      <x:c r="D1" s="5"/>
      <x:c r="E1" s="5"/>
      <x:c r="F1" s="5"/>
    </x:row>
    <x:row r="2" ht="19" customHeight="1"/>
    <x:row r="3" ht="19" customHeight="1">
      <x:c r="A3" s="48" t="str">
        <x:v>Source</x:v>
      </x:c>
      <x:c r="B3" s="48" t="str">
        <x:v>File / Item</x:v>
      </x:c>
      <x:c r="C3" s="48" t="str">
        <x:v>Scope</x:v>
      </x:c>
      <x:c r="D3" s="48" t="str">
        <x:v>Use in Model</x:v>
      </x:c>
      <x:c r="E3" s="48" t="str">
        <x:v>Status</x:v>
      </x:c>
      <x:c r="F3" s="48" t="str">
        <x:v>URL / Location</x:v>
      </x:c>
    </x:row>
    <x:row r="4" ht="19" customHeight="1">
      <x:c r="A4" s="40" t="str">
        <x:v>Severn Trent WRMP24</x:v>
      </x:c>
      <x:c r="B4" s="40" t="str">
        <x:v>Water-resources-market-information22-Strategic-Grid.xlsx</x:v>
      </x:c>
      <x:c r="C4" s="40" t="str">
        <x:v>Strategic Grid Water Resource Zone</x:v>
      </x:c>
      <x:c r="D4" s="40" t="str">
        <x:v>Published baseline demand, supply, population, PCC, leakage, headroom and SDB inputs</x:v>
      </x:c>
      <x:c r="E4" s="40" t="str">
        <x:v>Primary public source</x:v>
      </x:c>
      <x:c r="F4" s="40" t="str">
        <x:v>https://www.severntrent.com/content/dam/dwrmp24-st/market-info-tables/Water-resources-market-information22-Strategic-Grid.xlsx</x:v>
      </x:c>
    </x:row>
    <x:row r="5" ht="19" customHeight="1">
      <x:c r="A5" s="40" t="str">
        <x:v>Project configuration</x:v>
      </x:c>
      <x:c r="B5" s="40" t="str">
        <x:v>config/scenarios.csv</x:v>
      </x:c>
      <x:c r="C5" s="40" t="str">
        <x:v>Illustrative sensitivities</x:v>
      </x:c>
      <x:c r="D5" s="40" t="str">
        <x:v>Defines PCC, population, non-household and leakage scenario adjustments</x:v>
      </x:c>
      <x:c r="E5" s="40" t="str">
        <x:v>User-defined</x:v>
      </x:c>
      <x:c r="F5" s="40" t="str">
        <x:v>Local project file</x:v>
      </x:c>
    </x:row>
    <x:row r="6" ht="19" customHeight="1">
      <x:c r="A6" s="40" t="str">
        <x:v>Project output</x:v>
      </x:c>
      <x:c r="B6" s="40" t="str">
        <x:v>data/processed/strategic_grid_baseline.csv</x:v>
      </x:c>
      <x:c r="C6" s="40" t="str">
        <x:v>2020-21 to 2044-45</x:v>
      </x:c>
      <x:c r="D6" s="40" t="str">
        <x:v>Clean analytical baseline extracted from the published workbook</x:v>
      </x:c>
      <x:c r="E6" s="40" t="str">
        <x:v>Generated</x:v>
      </x:c>
      <x:c r="F6" s="40" t="str">
        <x:v>Local project file</x:v>
      </x:c>
    </x:row>
    <x:row r="7" ht="19" customHeight="1">
      <x:c r="A7" s="40" t="str">
        <x:v>Project output</x:v>
      </x:c>
      <x:c r="B7" s="40" t="str">
        <x:v>outputs/scenario_results.csv</x:v>
      </x:c>
      <x:c r="C7" s="40" t="str">
        <x:v>6 scenarios x 25 years</x:v>
      </x:c>
      <x:c r="D7" s="40" t="str">
        <x:v>Scenario-level demand and supply-demand-balance results</x:v>
      </x:c>
      <x:c r="E7" s="40" t="str">
        <x:v>Generated</x:v>
      </x:c>
      <x:c r="F7" s="40" t="str">
        <x:v>Local project file</x:v>
      </x:c>
    </x:row>
    <x:row r="8" ht="19" customHeight="1"/>
    <x:row r="9" ht="19" customHeight="1">
      <x:c r="A9" s="22" t="str">
        <x:v>Model Boundary</x:v>
      </x:c>
      <x:c r="B9" s="22"/>
      <x:c r="C9" s="22"/>
      <x:c r="D9" s="22"/>
      <x:c r="E9" s="22"/>
      <x:c r="F9" s="22"/>
    </x:row>
    <x:row r="10" ht="19" customHeight="1">
      <x:c r="A10" s="40" t="str">
        <x:v>This workbook is an independent analytical prototype based on published planning information. It is not Severn Trent's internal demand model and does not use proprietary systems, customer-level billing data, operational telemetry or internal planning assumptions. It is designed to demonstrate a transparent forecasting, scenario-analysis and assurance workflow using public data.</x:v>
      </x:c>
      <x:c r="B10" s="40"/>
      <x:c r="C10" s="40"/>
      <x:c r="D10" s="40"/>
      <x:c r="E10" s="40"/>
      <x:c r="F10" s="40"/>
    </x:row>
    <x:row r="11" ht="19" customHeight="1">
      <x:c r="A11" s="40"/>
      <x:c r="B11" s="40"/>
      <x:c r="C11" s="40"/>
      <x:c r="D11" s="40"/>
      <x:c r="E11" s="40"/>
      <x:c r="F11" s="40"/>
    </x:row>
    <x:row r="12" ht="19" customHeight="1">
      <x:c r="A12" s="40"/>
      <x:c r="B12" s="40"/>
      <x:c r="C12" s="40"/>
      <x:c r="D12" s="40"/>
      <x:c r="E12" s="40"/>
      <x:c r="F12" s="40"/>
    </x:row>
    <x:row r="13" ht="19" customHeight="1">
      <x:c r="A13" s="40"/>
      <x:c r="B13" s="40"/>
      <x:c r="C13" s="40"/>
      <x:c r="D13" s="40"/>
      <x:c r="E13" s="40"/>
      <x:c r="F13" s="40"/>
    </x:row>
    <x:row r="14" ht="19" customHeight="1"/>
    <x:row r="15" ht="19" customHeight="1"/>
    <x:row r="16" ht="19" customHeight="1"/>
    <x:row r="17" ht="19" customHeight="1"/>
    <x:row r="18" ht="19" customHeight="1"/>
    <x:row r="19" ht="19" customHeight="1"/>
    <x:row r="20" ht="19" customHeight="1"/>
    <x:row r="21" ht="19" customHeight="1"/>
    <x:row r="22" ht="19" customHeight="1"/>
    <x:row r="23" ht="19" customHeight="1"/>
    <x:row r="24" ht="19" customHeight="1"/>
    <x:row r="25" ht="19" customHeight="1"/>
    <x:row r="26" ht="19" customHeight="1"/>
    <x:row r="27" ht="19" customHeight="1"/>
    <x:row r="28" ht="19" customHeight="1"/>
    <x:row r="29" ht="19" customHeight="1"/>
    <x:row r="30" ht="19" customHeight="1"/>
    <x:row r="31" ht="19" customHeight="1"/>
    <x:row r="32" ht="19" customHeight="1"/>
    <x:row r="33" ht="19" customHeight="1"/>
    <x:row r="34" ht="19" customHeight="1"/>
    <x:row r="35" ht="19" customHeight="1"/>
    <x:row r="36" ht="19" customHeight="1"/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  <x:row r="51" ht="19" customHeight="1"/>
    <x:row r="52" ht="19" customHeight="1"/>
    <x:row r="53" ht="19" customHeight="1"/>
    <x:row r="54" ht="19" customHeight="1"/>
    <x:row r="55" ht="19" customHeight="1"/>
    <x:row r="56" ht="19" customHeight="1"/>
    <x:row r="57" ht="19" customHeight="1"/>
    <x:row r="58" ht="19" customHeight="1"/>
    <x:row r="59" ht="19" customHeight="1"/>
    <x:row r="60" ht="19" customHeight="1"/>
  </x:sheetData>
  <x:mergeCells>
    <x:mergeCell ref="A1:F1"/>
    <x:mergeCell ref="A9:F9"/>
    <x:mergeCell ref="A10:F13"/>
  </x:mergeCells>
  <x:pageMargins left="0.7" right="0.7" top="0.75" bottom="0.75" header="0.3" footer="0.3"/>
</x:worksheet>
</file>